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showObjects="placeholders" codeName="ThisWorkbook"/>
  <mc:AlternateContent xmlns:mc="http://schemas.openxmlformats.org/markup-compatibility/2006">
    <mc:Choice Requires="x15">
      <x15ac:absPath xmlns:x15ac="http://schemas.microsoft.com/office/spreadsheetml/2010/11/ac" url="C:\Users\patir\Documents\Praca ESMlab\1. TIMES-PL-PSE\Potencjał biogazu\Poprawy 2026\BASIC_AGR\Basic_AGR\"/>
    </mc:Choice>
  </mc:AlternateContent>
  <xr:revisionPtr revIDLastSave="0" documentId="13_ncr:1_{66DAA9F1-8A3F-4427-B1C8-16171AE78F1C}" xr6:coauthVersionLast="47" xr6:coauthVersionMax="47" xr10:uidLastSave="{00000000-0000-0000-0000-000000000000}"/>
  <bookViews>
    <workbookView xWindow="-108" yWindow="-108" windowWidth="23256" windowHeight="13896" tabRatio="901" activeTab="2" xr2:uid="{00000000-000D-0000-FFFF-FFFF00000000}"/>
  </bookViews>
  <sheets>
    <sheet name="DemTechs_TPS" sheetId="136" r:id="rId1"/>
    <sheet name="SUP" sheetId="132" r:id="rId2"/>
    <sheet name="Demands" sheetId="134" r:id="rId3"/>
  </sheets>
  <externalReferences>
    <externalReference r:id="rId4"/>
  </externalReferences>
  <definedNames>
    <definedName name="FID_1">[1]AGR_Fuels!$A$2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34" l="1"/>
  <c r="C4" i="13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N3" authorId="0" shapeId="0" xr:uid="{00000000-0006-0000-03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S3" authorId="1" shapeId="0" xr:uid="{00000000-0006-0000-03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T3" authorId="2" shapeId="0" xr:uid="{00000000-0006-0000-03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U3" authorId="2" shapeId="0" xr:uid="{1ACB9398-13E7-44DA-B7FB-ECB72A6259DA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AD3" authorId="1" shapeId="0" xr:uid="{00000000-0006-0000-0300-000007000000}">
      <text>
        <r>
          <rPr>
            <sz val="8"/>
            <color indexed="81"/>
            <rFont val="Tahoma"/>
            <family val="2"/>
          </rPr>
          <t xml:space="preserve">Needed only when one wants to override the VEDA default assignment
</t>
        </r>
      </text>
    </comment>
  </commentList>
</comments>
</file>

<file path=xl/sharedStrings.xml><?xml version="1.0" encoding="utf-8"?>
<sst xmlns="http://schemas.openxmlformats.org/spreadsheetml/2006/main" count="411" uniqueCount="133">
  <si>
    <t>CommName</t>
  </si>
  <si>
    <t>TechName</t>
  </si>
  <si>
    <t>TechDesc</t>
  </si>
  <si>
    <t>CommDesc</t>
  </si>
  <si>
    <t>Unit</t>
  </si>
  <si>
    <t>Comm-IN</t>
  </si>
  <si>
    <t>Comm-OUT</t>
  </si>
  <si>
    <t>Csets</t>
  </si>
  <si>
    <t>LimType</t>
  </si>
  <si>
    <t>PeakTS</t>
  </si>
  <si>
    <t>Sets</t>
  </si>
  <si>
    <t>~FI_T</t>
  </si>
  <si>
    <t>~FI_Comm</t>
  </si>
  <si>
    <t>~FI_Process</t>
  </si>
  <si>
    <t>Tact</t>
  </si>
  <si>
    <t>Tcap</t>
  </si>
  <si>
    <t>PrimaryCG</t>
  </si>
  <si>
    <t>Region</t>
  </si>
  <si>
    <t>Demand</t>
  </si>
  <si>
    <t>COST</t>
  </si>
  <si>
    <t>IMP</t>
  </si>
  <si>
    <t>NRG</t>
  </si>
  <si>
    <t>PJ</t>
  </si>
  <si>
    <t>Attribute</t>
  </si>
  <si>
    <t>DEM</t>
  </si>
  <si>
    <t>kt</t>
  </si>
  <si>
    <t>*Unit</t>
  </si>
  <si>
    <t>STOCK</t>
  </si>
  <si>
    <t>AFA</t>
  </si>
  <si>
    <t>FIXOM</t>
  </si>
  <si>
    <t>VAROM</t>
  </si>
  <si>
    <t>Ctype</t>
  </si>
  <si>
    <t>PRI_BIOG_AGR</t>
  </si>
  <si>
    <t>PRI_BIO_CH4_AGR</t>
  </si>
  <si>
    <t>AGR_DEM</t>
  </si>
  <si>
    <t>Biogas AGR</t>
  </si>
  <si>
    <t>Biometan AGR</t>
  </si>
  <si>
    <t>Agriculture Demand</t>
  </si>
  <si>
    <t>IPI</t>
  </si>
  <si>
    <t>PL</t>
  </si>
  <si>
    <t>AGR_LIV_MANURE_CAT_DAIRY</t>
  </si>
  <si>
    <t>Animal Manure - Dairy Cattle</t>
  </si>
  <si>
    <t>AGR_LIV_MANURE_CAT_NON-DAIRY</t>
  </si>
  <si>
    <t>Animal Manure - Non Dairy Cattle</t>
  </si>
  <si>
    <t>AGR_LIV_MANURE_SWINE</t>
  </si>
  <si>
    <t>Animal Manure - Swine</t>
  </si>
  <si>
    <t>AGR_LIV_MANURE_POULTRY</t>
  </si>
  <si>
    <t>Animal Manure - Poultry</t>
  </si>
  <si>
    <t>AGR_RESID_CROP_WHEAT</t>
  </si>
  <si>
    <t>Crop Residues</t>
  </si>
  <si>
    <t>AGR_RESID_CROP_BARLEY</t>
  </si>
  <si>
    <t>AGR_RESID_CROP_MAIZE</t>
  </si>
  <si>
    <t>AGR_RESID_CROP_CER-MIX</t>
  </si>
  <si>
    <t>AGR_RESID_CROP_TRITICALE</t>
  </si>
  <si>
    <t>AGR_RESID_CROP_OATS</t>
  </si>
  <si>
    <t>AGR_RESID_CROP_RYE</t>
  </si>
  <si>
    <t>AGR_RESID_CROP_MILL-BUCK</t>
  </si>
  <si>
    <t>MAT</t>
  </si>
  <si>
    <t>AGR_LIVESTOCK_FOOD</t>
  </si>
  <si>
    <t>Dummy Energy for Agriculture</t>
  </si>
  <si>
    <t>DUM</t>
  </si>
  <si>
    <t>AGR_LAND</t>
  </si>
  <si>
    <t>kha</t>
  </si>
  <si>
    <t>AGR_DUMMY_DMD_LAND</t>
  </si>
  <si>
    <t>Dummy Land Demand for Agriculture</t>
  </si>
  <si>
    <t>AGR_DUMMY_LAND_RESIDUES</t>
  </si>
  <si>
    <t>Dummy Crop Residues for Biogas Production</t>
  </si>
  <si>
    <t>AGR_DEM_LIV_CAT_DAIRY</t>
  </si>
  <si>
    <t>AGR_DEM_LIV_CAT_NON-DAIRY</t>
  </si>
  <si>
    <t>AGR_DEM_LIV_SWINE</t>
  </si>
  <si>
    <t>AGR_DEM_LIV_POULTRY</t>
  </si>
  <si>
    <t>AGR_DEM_CROP_WHEAT</t>
  </si>
  <si>
    <t>AGR_DEM_CROP_BARLEY</t>
  </si>
  <si>
    <t>AGR_DEM_CROP_MAIZE</t>
  </si>
  <si>
    <t>AGR_DEM_CROP_CER-MIX</t>
  </si>
  <si>
    <t>AGR_DEM_CROP_TRITICALE</t>
  </si>
  <si>
    <t>AGR_DEM_CROP_OATS</t>
  </si>
  <si>
    <t>AGR_DEM_CROP_RYE</t>
  </si>
  <si>
    <t>AGR_DEM_CROP_MILL-BUCK</t>
  </si>
  <si>
    <t>PRE</t>
  </si>
  <si>
    <t>DMD</t>
  </si>
  <si>
    <t>AGR_DEM_AGR</t>
  </si>
  <si>
    <t>Agriculture Demand Process</t>
  </si>
  <si>
    <t>IPIa</t>
  </si>
  <si>
    <t>AGR_EX_BIOG</t>
  </si>
  <si>
    <t>Agriculture Existing Biogass</t>
  </si>
  <si>
    <t>AGR_IMP_DUMMY_FOOD_LIV</t>
  </si>
  <si>
    <t>Dummy Energy Import</t>
  </si>
  <si>
    <t>1000s of animals</t>
  </si>
  <si>
    <t>AGR_IMP_DUMMY_LAND</t>
  </si>
  <si>
    <t>Dummy Land Import</t>
  </si>
  <si>
    <t>kha/a</t>
  </si>
  <si>
    <t>AGR_EX_LIV_CAT_DAIRY</t>
  </si>
  <si>
    <t>AGR_LIV_CAT_DAIRY</t>
  </si>
  <si>
    <t>AGR_EX_LIV_CAT_NON-DAIRY</t>
  </si>
  <si>
    <t>AGR_LIV_CAT_NON-DAIRY</t>
  </si>
  <si>
    <t>AGR_EX_LIV_SWINE</t>
  </si>
  <si>
    <t>AGR_LIV_SWINE</t>
  </si>
  <si>
    <t>AGR_EX_LIV_POULTRY</t>
  </si>
  <si>
    <t>AGR_LIV_POULTRY</t>
  </si>
  <si>
    <t>AGR_EX_LIV_INDIRECT</t>
  </si>
  <si>
    <t>AGR_LAND_CROP_WHEAT</t>
  </si>
  <si>
    <t>AGR_LAND_CROP_BARLEY</t>
  </si>
  <si>
    <t>AGR_LAND_CROP_MAIZE</t>
  </si>
  <si>
    <t>AGR_LAND_CROP_CER-MIX</t>
  </si>
  <si>
    <t>AGR_LAND_CROP_TRITICALE</t>
  </si>
  <si>
    <t>AGR_LAND_CROP_OATS</t>
  </si>
  <si>
    <t>AGR_LAND_CROP_RYE</t>
  </si>
  <si>
    <t>AGR_LAND_CROP_MILL-BUCK</t>
  </si>
  <si>
    <t>*TechDesc</t>
  </si>
  <si>
    <t>Technology description</t>
  </si>
  <si>
    <t>* TechDesc</t>
  </si>
  <si>
    <t>Input</t>
  </si>
  <si>
    <t>OUTPUT</t>
  </si>
  <si>
    <t>Cap2Act</t>
  </si>
  <si>
    <t>ACTFLO</t>
  </si>
  <si>
    <t/>
  </si>
  <si>
    <t>* Gross Calorific Value</t>
  </si>
  <si>
    <t>CEFF</t>
  </si>
  <si>
    <t>Share-I</t>
  </si>
  <si>
    <t>FLO_COST</t>
  </si>
  <si>
    <t>AFA~FX</t>
  </si>
  <si>
    <t>Share-I~0</t>
  </si>
  <si>
    <t>* Technology name</t>
  </si>
  <si>
    <t>Commodity input</t>
  </si>
  <si>
    <t>Commodity output</t>
  </si>
  <si>
    <t>mln m3 biogazu na rok</t>
  </si>
  <si>
    <t>MJ / m3</t>
  </si>
  <si>
    <t xml:space="preserve">PJ/mln m3 - </t>
  </si>
  <si>
    <t>PJ/mln m3</t>
  </si>
  <si>
    <t>kt animal manure / kt all manure</t>
  </si>
  <si>
    <t>kt/kt</t>
  </si>
  <si>
    <t>PLN 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</si>
</sst>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\Te\x\t"/>
  </numFmts>
  <fonts count="15">
    <font>
      <sz val="10"/>
      <name val="Arial"/>
    </font>
    <font>
      <sz val="10"/>
      <name val="Arial"/>
      <family val="2"/>
      <charset val="238"/>
    </font>
    <font>
      <sz val="10"/>
      <name val="Courier"/>
      <family val="3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8"/>
      <color theme="1"/>
      <name val="Arial"/>
      <family val="2"/>
    </font>
    <font>
      <sz val="14"/>
      <color theme="1"/>
      <name val="Czcionka tekstu podstaw."/>
      <family val="2"/>
      <charset val="238"/>
    </font>
    <font>
      <sz val="10"/>
      <name val="Arial"/>
      <family val="2"/>
      <charset val="1"/>
    </font>
    <font>
      <sz val="14"/>
      <color theme="1"/>
      <name val="Calibri"/>
      <family val="2"/>
      <charset val="238"/>
      <scheme val="minor"/>
    </font>
  </fonts>
  <fills count="1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rgb="FFFFEB9C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1">
    <xf numFmtId="0" fontId="0" fillId="0" borderId="0"/>
    <xf numFmtId="0" fontId="9" fillId="3" borderId="0" applyNumberFormat="0" applyBorder="0" applyAlignment="0" applyProtection="0"/>
    <xf numFmtId="43" fontId="9" fillId="0" borderId="0" applyFont="0" applyFill="0" applyBorder="0" applyAlignment="0" applyProtection="0"/>
    <xf numFmtId="0" fontId="10" fillId="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4" fillId="0" borderId="0"/>
    <xf numFmtId="0" fontId="2" fillId="0" borderId="0"/>
    <xf numFmtId="9" fontId="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4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4" fillId="0" borderId="0"/>
  </cellStyleXfs>
  <cellXfs count="93">
    <xf numFmtId="0" fontId="0" fillId="0" borderId="0" xfId="0"/>
    <xf numFmtId="0" fontId="4" fillId="0" borderId="0" xfId="0" applyFont="1"/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vertical="center"/>
    </xf>
    <xf numFmtId="0" fontId="5" fillId="0" borderId="0" xfId="0" applyFont="1"/>
    <xf numFmtId="0" fontId="5" fillId="0" borderId="0" xfId="6" applyFont="1" applyAlignment="1">
      <alignment horizontal="left"/>
    </xf>
    <xf numFmtId="0" fontId="0" fillId="0" borderId="2" xfId="0" applyBorder="1"/>
    <xf numFmtId="1" fontId="0" fillId="0" borderId="0" xfId="0" applyNumberFormat="1"/>
    <xf numFmtId="0" fontId="11" fillId="3" borderId="1" xfId="1" applyFont="1" applyBorder="1" applyAlignment="1">
      <alignment horizontal="left" wrapText="1"/>
    </xf>
    <xf numFmtId="1" fontId="4" fillId="0" borderId="0" xfId="4" applyNumberFormat="1"/>
    <xf numFmtId="0" fontId="4" fillId="0" borderId="0" xfId="6" applyAlignment="1">
      <alignment horizontal="left"/>
    </xf>
    <xf numFmtId="0" fontId="4" fillId="0" borderId="0" xfId="6" applyAlignment="1">
      <alignment horizontal="right"/>
    </xf>
    <xf numFmtId="0" fontId="3" fillId="2" borderId="1" xfId="6" applyFont="1" applyFill="1" applyBorder="1" applyAlignment="1">
      <alignment horizontal="left" vertical="center"/>
    </xf>
    <xf numFmtId="0" fontId="3" fillId="2" borderId="1" xfId="6" applyFont="1" applyFill="1" applyBorder="1" applyAlignment="1">
      <alignment horizontal="left" vertical="center" wrapText="1"/>
    </xf>
    <xf numFmtId="0" fontId="3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/>
    </xf>
    <xf numFmtId="165" fontId="5" fillId="0" borderId="0" xfId="0" applyNumberFormat="1" applyFont="1"/>
    <xf numFmtId="165" fontId="4" fillId="0" borderId="0" xfId="0" applyNumberFormat="1" applyFont="1"/>
    <xf numFmtId="165" fontId="3" fillId="2" borderId="1" xfId="0" applyNumberFormat="1" applyFont="1" applyFill="1" applyBorder="1" applyAlignment="1">
      <alignment horizontal="left"/>
    </xf>
    <xf numFmtId="165" fontId="3" fillId="2" borderId="3" xfId="0" applyNumberFormat="1" applyFont="1" applyFill="1" applyBorder="1" applyAlignment="1">
      <alignment horizontal="left"/>
    </xf>
    <xf numFmtId="165" fontId="0" fillId="0" borderId="0" xfId="0" applyNumberFormat="1"/>
    <xf numFmtId="165" fontId="3" fillId="2" borderId="1" xfId="0" applyNumberFormat="1" applyFont="1" applyFill="1" applyBorder="1" applyAlignment="1">
      <alignment horizontal="center" vertical="center"/>
    </xf>
    <xf numFmtId="0" fontId="1" fillId="7" borderId="0" xfId="0" applyFont="1" applyFill="1"/>
    <xf numFmtId="0" fontId="1" fillId="8" borderId="0" xfId="0" applyFont="1" applyFill="1"/>
    <xf numFmtId="0" fontId="1" fillId="8" borderId="1" xfId="0" applyFont="1" applyFill="1" applyBorder="1"/>
    <xf numFmtId="0" fontId="1" fillId="11" borderId="4" xfId="17" applyFill="1" applyBorder="1"/>
    <xf numFmtId="0" fontId="1" fillId="8" borderId="5" xfId="0" applyFont="1" applyFill="1" applyBorder="1"/>
    <xf numFmtId="0" fontId="1" fillId="8" borderId="6" xfId="0" applyFont="1" applyFill="1" applyBorder="1"/>
    <xf numFmtId="0" fontId="1" fillId="7" borderId="7" xfId="0" applyFont="1" applyFill="1" applyBorder="1"/>
    <xf numFmtId="0" fontId="1" fillId="7" borderId="8" xfId="0" applyFont="1" applyFill="1" applyBorder="1"/>
    <xf numFmtId="0" fontId="1" fillId="8" borderId="7" xfId="0" applyFont="1" applyFill="1" applyBorder="1"/>
    <xf numFmtId="0" fontId="1" fillId="8" borderId="8" xfId="0" applyFont="1" applyFill="1" applyBorder="1"/>
    <xf numFmtId="0" fontId="1" fillId="8" borderId="9" xfId="0" applyFont="1" applyFill="1" applyBorder="1"/>
    <xf numFmtId="0" fontId="1" fillId="8" borderId="2" xfId="0" applyFont="1" applyFill="1" applyBorder="1"/>
    <xf numFmtId="0" fontId="1" fillId="8" borderId="10" xfId="0" applyFont="1" applyFill="1" applyBorder="1"/>
    <xf numFmtId="0" fontId="1" fillId="7" borderId="9" xfId="0" applyFont="1" applyFill="1" applyBorder="1"/>
    <xf numFmtId="0" fontId="1" fillId="7" borderId="2" xfId="0" applyFont="1" applyFill="1" applyBorder="1"/>
    <xf numFmtId="0" fontId="1" fillId="7" borderId="10" xfId="0" applyFont="1" applyFill="1" applyBorder="1"/>
    <xf numFmtId="0" fontId="1" fillId="12" borderId="1" xfId="17" applyFill="1" applyBorder="1"/>
    <xf numFmtId="4" fontId="1" fillId="12" borderId="1" xfId="17" applyNumberFormat="1" applyFill="1" applyBorder="1"/>
    <xf numFmtId="0" fontId="1" fillId="12" borderId="6" xfId="17" applyFill="1" applyBorder="1"/>
    <xf numFmtId="0" fontId="1" fillId="12" borderId="8" xfId="17" applyFill="1" applyBorder="1"/>
    <xf numFmtId="0" fontId="1" fillId="15" borderId="2" xfId="17" applyFill="1" applyBorder="1"/>
    <xf numFmtId="0" fontId="1" fillId="10" borderId="5" xfId="17" applyFill="1" applyBorder="1"/>
    <xf numFmtId="0" fontId="1" fillId="10" borderId="7" xfId="17" applyFill="1" applyBorder="1"/>
    <xf numFmtId="0" fontId="1" fillId="10" borderId="9" xfId="17" applyFill="1" applyBorder="1"/>
    <xf numFmtId="0" fontId="1" fillId="10" borderId="2" xfId="17" applyFill="1" applyBorder="1"/>
    <xf numFmtId="0" fontId="1" fillId="10" borderId="1" xfId="17" applyFill="1" applyBorder="1"/>
    <xf numFmtId="0" fontId="1" fillId="10" borderId="10" xfId="17" applyFill="1" applyBorder="1"/>
    <xf numFmtId="0" fontId="1" fillId="10" borderId="8" xfId="17" applyFill="1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6" borderId="2" xfId="0" applyFill="1" applyBorder="1"/>
    <xf numFmtId="0" fontId="0" fillId="0" borderId="10" xfId="0" applyBorder="1"/>
    <xf numFmtId="1" fontId="4" fillId="5" borderId="0" xfId="3" applyNumberFormat="1" applyFont="1" applyFill="1" applyBorder="1"/>
    <xf numFmtId="0" fontId="3" fillId="2" borderId="5" xfId="6" applyFont="1" applyFill="1" applyBorder="1" applyAlignment="1">
      <alignment horizontal="left" vertical="center"/>
    </xf>
    <xf numFmtId="0" fontId="3" fillId="2" borderId="6" xfId="6" applyFont="1" applyFill="1" applyBorder="1" applyAlignment="1">
      <alignment horizontal="left" vertical="center"/>
    </xf>
    <xf numFmtId="0" fontId="1" fillId="10" borderId="0" xfId="17" applyFill="1" applyBorder="1"/>
    <xf numFmtId="0" fontId="1" fillId="16" borderId="0" xfId="17" applyFill="1" applyBorder="1"/>
    <xf numFmtId="0" fontId="1" fillId="14" borderId="0" xfId="17" applyFill="1" applyBorder="1"/>
    <xf numFmtId="0" fontId="1" fillId="15" borderId="0" xfId="17" applyFill="1" applyBorder="1"/>
    <xf numFmtId="0" fontId="1" fillId="12" borderId="0" xfId="17" applyFill="1" applyBorder="1"/>
    <xf numFmtId="2" fontId="1" fillId="14" borderId="0" xfId="17" applyNumberFormat="1" applyFill="1" applyBorder="1"/>
    <xf numFmtId="0" fontId="1" fillId="10" borderId="0" xfId="17" quotePrefix="1" applyFill="1" applyBorder="1"/>
    <xf numFmtId="0" fontId="1" fillId="0" borderId="0" xfId="17" applyBorder="1"/>
    <xf numFmtId="4" fontId="1" fillId="12" borderId="0" xfId="17" applyNumberFormat="1" applyFill="1" applyBorder="1"/>
    <xf numFmtId="0" fontId="1" fillId="12" borderId="7" xfId="17" applyFill="1" applyBorder="1"/>
    <xf numFmtId="0" fontId="1" fillId="8" borderId="0" xfId="17" applyFill="1" applyBorder="1"/>
    <xf numFmtId="0" fontId="1" fillId="12" borderId="0" xfId="0" applyFont="1" applyFill="1" applyBorder="1"/>
    <xf numFmtId="0" fontId="0" fillId="0" borderId="0" xfId="0" applyBorder="1"/>
    <xf numFmtId="0" fontId="1" fillId="8" borderId="0" xfId="0" applyFont="1" applyFill="1" applyBorder="1"/>
    <xf numFmtId="0" fontId="1" fillId="12" borderId="8" xfId="0" applyFont="1" applyFill="1" applyBorder="1"/>
    <xf numFmtId="0" fontId="1" fillId="8" borderId="7" xfId="17" applyFill="1" applyBorder="1"/>
    <xf numFmtId="0" fontId="1" fillId="13" borderId="0" xfId="17" applyFill="1" applyBorder="1"/>
    <xf numFmtId="0" fontId="1" fillId="13" borderId="0" xfId="0" applyFont="1" applyFill="1" applyBorder="1"/>
    <xf numFmtId="0" fontId="1" fillId="15" borderId="0" xfId="0" applyFont="1" applyFill="1" applyBorder="1"/>
    <xf numFmtId="0" fontId="1" fillId="7" borderId="0" xfId="17" applyFill="1" applyBorder="1"/>
    <xf numFmtId="0" fontId="1" fillId="7" borderId="0" xfId="0" applyFont="1" applyFill="1" applyBorder="1"/>
    <xf numFmtId="0" fontId="1" fillId="7" borderId="7" xfId="17" applyFill="1" applyBorder="1"/>
    <xf numFmtId="0" fontId="1" fillId="9" borderId="0" xfId="17" applyFill="1" applyBorder="1"/>
    <xf numFmtId="0" fontId="0" fillId="9" borderId="0" xfId="0" applyFill="1" applyBorder="1"/>
    <xf numFmtId="0" fontId="1" fillId="9" borderId="0" xfId="0" applyFont="1" applyFill="1" applyBorder="1"/>
    <xf numFmtId="0" fontId="1" fillId="9" borderId="7" xfId="17" applyFill="1" applyBorder="1"/>
    <xf numFmtId="0" fontId="1" fillId="9" borderId="8" xfId="0" applyFont="1" applyFill="1" applyBorder="1"/>
    <xf numFmtId="0" fontId="1" fillId="9" borderId="9" xfId="17" applyFill="1" applyBorder="1"/>
    <xf numFmtId="0" fontId="1" fillId="9" borderId="2" xfId="17" applyFill="1" applyBorder="1"/>
    <xf numFmtId="0" fontId="1" fillId="9" borderId="2" xfId="0" applyFont="1" applyFill="1" applyBorder="1"/>
    <xf numFmtId="0" fontId="1" fillId="15" borderId="2" xfId="0" applyFont="1" applyFill="1" applyBorder="1"/>
    <xf numFmtId="0" fontId="1" fillId="9" borderId="10" xfId="0" applyFont="1" applyFill="1" applyBorder="1"/>
  </cellXfs>
  <cellStyles count="21">
    <cellStyle name="20% — akcent 5" xfId="1" builtinId="46"/>
    <cellStyle name="Comma 2" xfId="2" xr:uid="{00000000-0005-0000-0000-000004000000}"/>
    <cellStyle name="Neutralny" xfId="3" builtinId="28"/>
    <cellStyle name="Normal 10" xfId="4" xr:uid="{00000000-0005-0000-0000-000009000000}"/>
    <cellStyle name="Normal 10 2" xfId="15" xr:uid="{5FF9E568-959D-4ED9-B546-1289345A4812}"/>
    <cellStyle name="Normal 2" xfId="5" xr:uid="{00000000-0005-0000-0000-00000A000000}"/>
    <cellStyle name="Normal 2 2" xfId="18" xr:uid="{6E8C98F7-D607-4ED8-9830-9C2429218A93}"/>
    <cellStyle name="Normal 4" xfId="6" xr:uid="{00000000-0005-0000-0000-00000B000000}"/>
    <cellStyle name="Normal 4 2" xfId="7" xr:uid="{00000000-0005-0000-0000-00000C000000}"/>
    <cellStyle name="Normal 74" xfId="19" xr:uid="{2FB5064C-A755-4177-B6D8-6855020C01D7}"/>
    <cellStyle name="Normal 8" xfId="8" xr:uid="{00000000-0005-0000-0000-00000D000000}"/>
    <cellStyle name="Normal 9 2" xfId="9" xr:uid="{00000000-0005-0000-0000-00000E000000}"/>
    <cellStyle name="Normale_B2020" xfId="10" xr:uid="{00000000-0005-0000-0000-00000F000000}"/>
    <cellStyle name="Normalny" xfId="0" builtinId="0"/>
    <cellStyle name="Normalny 10 10" xfId="17" xr:uid="{A5A825A0-F980-4A58-B884-DD2355C75254}"/>
    <cellStyle name="Normalny 2" xfId="16" xr:uid="{CA59CD0B-CA41-4867-9392-699A90A2F8E1}"/>
    <cellStyle name="Normalny 43 2" xfId="20" xr:uid="{F1CD2000-634E-41A4-9FA0-9F8773B54FD1}"/>
    <cellStyle name="Percent 2" xfId="11" xr:uid="{00000000-0005-0000-0000-000011000000}"/>
    <cellStyle name="Percent 3" xfId="12" xr:uid="{00000000-0005-0000-0000-000012000000}"/>
    <cellStyle name="Percent 4" xfId="13" xr:uid="{00000000-0005-0000-0000-000013000000}"/>
    <cellStyle name="Standard_Sce_D_Extraction" xfId="14" xr:uid="{00000000-0005-0000-0000-00001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D88"/>
  <sheetViews>
    <sheetView zoomScale="55" zoomScaleNormal="55" workbookViewId="0">
      <selection activeCell="M47" sqref="M47"/>
    </sheetView>
  </sheetViews>
  <sheetFormatPr defaultRowHeight="13.2"/>
  <cols>
    <col min="1" max="1" width="3" customWidth="1"/>
    <col min="2" max="2" width="30.44140625" customWidth="1"/>
    <col min="3" max="3" width="30.33203125" customWidth="1"/>
    <col min="4" max="4" width="33.33203125" customWidth="1"/>
    <col min="5" max="5" width="35.21875" customWidth="1"/>
    <col min="6" max="6" width="27.44140625" customWidth="1"/>
    <col min="7" max="7" width="7.44140625" bestFit="1" customWidth="1"/>
    <col min="8" max="9" width="9.33203125" bestFit="1" customWidth="1"/>
    <col min="10" max="10" width="9.33203125" customWidth="1"/>
    <col min="11" max="11" width="8" bestFit="1" customWidth="1"/>
    <col min="12" max="12" width="8" customWidth="1"/>
    <col min="13" max="13" width="38.33203125" customWidth="1"/>
    <col min="14" max="14" width="12.6640625" bestFit="1" customWidth="1"/>
    <col min="15" max="15" width="7.109375" customWidth="1"/>
    <col min="16" max="16" width="36.5546875" customWidth="1"/>
    <col min="17" max="17" width="42.5546875" bestFit="1" customWidth="1"/>
    <col min="18" max="18" width="6.88671875" customWidth="1"/>
    <col min="19" max="19" width="11.6640625" customWidth="1"/>
    <col min="20" max="20" width="13.88671875" customWidth="1"/>
    <col min="21" max="21" width="15" customWidth="1"/>
    <col min="26" max="26" width="21.88671875" customWidth="1"/>
    <col min="27" max="27" width="51.44140625" customWidth="1"/>
    <col min="29" max="29" width="17.77734375" customWidth="1"/>
  </cols>
  <sheetData>
    <row r="1" spans="2:30">
      <c r="D1" s="5" t="s">
        <v>11</v>
      </c>
      <c r="E1" s="5"/>
      <c r="F1" s="5"/>
      <c r="H1" s="5"/>
      <c r="I1" s="10"/>
      <c r="J1" s="10"/>
    </row>
    <row r="2" spans="2:30">
      <c r="B2" s="59" t="s">
        <v>1</v>
      </c>
      <c r="C2" s="12" t="s">
        <v>111</v>
      </c>
      <c r="D2" s="12" t="s">
        <v>5</v>
      </c>
      <c r="E2" s="12" t="s">
        <v>6</v>
      </c>
      <c r="F2" s="13" t="s">
        <v>27</v>
      </c>
      <c r="G2" s="12" t="s">
        <v>112</v>
      </c>
      <c r="H2" s="12" t="s">
        <v>113</v>
      </c>
      <c r="I2" s="12" t="s">
        <v>114</v>
      </c>
      <c r="J2" s="60" t="s">
        <v>28</v>
      </c>
      <c r="N2" s="16" t="s">
        <v>12</v>
      </c>
      <c r="O2" s="16"/>
      <c r="P2" s="17"/>
      <c r="Q2" s="17"/>
      <c r="R2" s="17"/>
      <c r="S2" s="17"/>
      <c r="T2" s="17"/>
      <c r="X2" s="16" t="s">
        <v>13</v>
      </c>
      <c r="Y2" s="16"/>
      <c r="Z2" s="20"/>
      <c r="AA2" s="20"/>
      <c r="AB2" s="20"/>
      <c r="AC2" s="20"/>
      <c r="AD2" s="20"/>
    </row>
    <row r="3" spans="2:30">
      <c r="B3" s="70" t="s">
        <v>92</v>
      </c>
      <c r="C3" s="71" t="s">
        <v>93</v>
      </c>
      <c r="D3" s="68"/>
      <c r="E3" s="71"/>
      <c r="F3" s="72">
        <v>2391.308</v>
      </c>
      <c r="G3" s="73"/>
      <c r="H3" s="74"/>
      <c r="I3" s="72">
        <v>1</v>
      </c>
      <c r="J3" s="75">
        <v>1</v>
      </c>
      <c r="N3" s="18" t="s">
        <v>7</v>
      </c>
      <c r="O3" s="19" t="s">
        <v>17</v>
      </c>
      <c r="P3" s="18" t="s">
        <v>0</v>
      </c>
      <c r="Q3" s="18" t="s">
        <v>3</v>
      </c>
      <c r="R3" s="18" t="s">
        <v>4</v>
      </c>
      <c r="S3" s="18" t="s">
        <v>8</v>
      </c>
      <c r="T3" s="18" t="s">
        <v>9</v>
      </c>
      <c r="U3" s="21" t="s">
        <v>31</v>
      </c>
      <c r="X3" s="18" t="s">
        <v>10</v>
      </c>
      <c r="Y3" s="19" t="s">
        <v>17</v>
      </c>
      <c r="Z3" s="18" t="s">
        <v>1</v>
      </c>
      <c r="AA3" s="18" t="s">
        <v>2</v>
      </c>
      <c r="AB3" s="18" t="s">
        <v>14</v>
      </c>
      <c r="AC3" s="18" t="s">
        <v>15</v>
      </c>
      <c r="AD3" s="18" t="s">
        <v>16</v>
      </c>
    </row>
    <row r="4" spans="2:30" ht="28.2" customHeight="1">
      <c r="B4" s="76"/>
      <c r="C4" s="68"/>
      <c r="D4" s="77" t="s">
        <v>58</v>
      </c>
      <c r="E4" s="71"/>
      <c r="F4" s="74"/>
      <c r="G4" s="78">
        <v>1</v>
      </c>
      <c r="H4" s="74"/>
      <c r="I4" s="74"/>
      <c r="J4" s="31"/>
      <c r="N4" s="26" t="s">
        <v>21</v>
      </c>
      <c r="O4" s="24" t="s">
        <v>39</v>
      </c>
      <c r="P4" s="24" t="s">
        <v>32</v>
      </c>
      <c r="Q4" s="24" t="s">
        <v>35</v>
      </c>
      <c r="R4" s="24" t="s">
        <v>22</v>
      </c>
      <c r="S4" s="24"/>
      <c r="T4" s="24"/>
      <c r="U4" s="27"/>
      <c r="X4" s="26" t="s">
        <v>80</v>
      </c>
      <c r="Y4" s="24" t="s">
        <v>39</v>
      </c>
      <c r="Z4" s="24" t="s">
        <v>81</v>
      </c>
      <c r="AA4" s="24" t="s">
        <v>82</v>
      </c>
      <c r="AB4" s="24" t="s">
        <v>38</v>
      </c>
      <c r="AC4" s="24" t="s">
        <v>83</v>
      </c>
      <c r="AD4" s="27"/>
    </row>
    <row r="5" spans="2:30">
      <c r="B5" s="76"/>
      <c r="C5" s="71"/>
      <c r="D5" s="71"/>
      <c r="E5" s="63" t="s">
        <v>67</v>
      </c>
      <c r="F5" s="74"/>
      <c r="G5" s="73"/>
      <c r="H5" s="74"/>
      <c r="I5" s="74"/>
      <c r="J5" s="31"/>
      <c r="N5" s="28" t="s">
        <v>21</v>
      </c>
      <c r="O5" s="22" t="s">
        <v>39</v>
      </c>
      <c r="P5" s="22" t="s">
        <v>33</v>
      </c>
      <c r="Q5" s="22" t="s">
        <v>36</v>
      </c>
      <c r="R5" s="22" t="s">
        <v>22</v>
      </c>
      <c r="S5" s="22"/>
      <c r="T5" s="22"/>
      <c r="U5" s="29"/>
      <c r="X5" s="28" t="s">
        <v>20</v>
      </c>
      <c r="Y5" s="22" t="s">
        <v>39</v>
      </c>
      <c r="Z5" s="22" t="s">
        <v>86</v>
      </c>
      <c r="AA5" s="22" t="s">
        <v>87</v>
      </c>
      <c r="AB5" s="22" t="s">
        <v>38</v>
      </c>
      <c r="AC5" s="22" t="s">
        <v>88</v>
      </c>
      <c r="AD5" s="29"/>
    </row>
    <row r="6" spans="2:30">
      <c r="B6" s="76"/>
      <c r="C6" s="71"/>
      <c r="D6" s="71"/>
      <c r="E6" s="64" t="s">
        <v>40</v>
      </c>
      <c r="F6" s="74"/>
      <c r="G6" s="74"/>
      <c r="H6" s="79">
        <v>7.4</v>
      </c>
      <c r="I6" s="74"/>
      <c r="J6" s="31"/>
      <c r="N6" s="30" t="s">
        <v>24</v>
      </c>
      <c r="O6" s="23" t="s">
        <v>39</v>
      </c>
      <c r="P6" s="23" t="s">
        <v>34</v>
      </c>
      <c r="Q6" s="23" t="s">
        <v>37</v>
      </c>
      <c r="R6" s="23" t="s">
        <v>38</v>
      </c>
      <c r="S6" s="23"/>
      <c r="T6" s="23"/>
      <c r="U6" s="31"/>
      <c r="X6" s="30" t="s">
        <v>20</v>
      </c>
      <c r="Y6" s="23" t="s">
        <v>39</v>
      </c>
      <c r="Z6" s="23" t="s">
        <v>89</v>
      </c>
      <c r="AA6" s="23" t="s">
        <v>90</v>
      </c>
      <c r="AB6" s="23" t="s">
        <v>91</v>
      </c>
      <c r="AC6" s="23" t="s">
        <v>62</v>
      </c>
      <c r="AD6" s="31"/>
    </row>
    <row r="7" spans="2:30">
      <c r="B7" s="70" t="s">
        <v>94</v>
      </c>
      <c r="C7" s="80" t="s">
        <v>95</v>
      </c>
      <c r="D7" s="80"/>
      <c r="E7" s="80"/>
      <c r="F7" s="72">
        <v>3887.5880000000002</v>
      </c>
      <c r="G7" s="81"/>
      <c r="H7" s="81"/>
      <c r="I7" s="72">
        <v>1</v>
      </c>
      <c r="J7" s="75">
        <v>1</v>
      </c>
      <c r="N7" s="28" t="s">
        <v>21</v>
      </c>
      <c r="O7" s="22" t="s">
        <v>39</v>
      </c>
      <c r="P7" s="22" t="s">
        <v>40</v>
      </c>
      <c r="Q7" s="22" t="s">
        <v>41</v>
      </c>
      <c r="R7" s="22" t="s">
        <v>25</v>
      </c>
      <c r="S7" s="22"/>
      <c r="T7" s="22"/>
      <c r="U7" s="29"/>
      <c r="X7" s="28" t="s">
        <v>79</v>
      </c>
      <c r="Y7" s="22" t="s">
        <v>39</v>
      </c>
      <c r="Z7" s="22" t="s">
        <v>92</v>
      </c>
      <c r="AA7" s="22" t="s">
        <v>93</v>
      </c>
      <c r="AB7" s="22" t="s">
        <v>38</v>
      </c>
      <c r="AC7" s="22" t="s">
        <v>88</v>
      </c>
      <c r="AD7" s="29"/>
    </row>
    <row r="8" spans="2:30">
      <c r="B8" s="82"/>
      <c r="C8" s="80"/>
      <c r="D8" s="77" t="s">
        <v>58</v>
      </c>
      <c r="E8" s="80"/>
      <c r="F8" s="81"/>
      <c r="G8" s="78">
        <v>1</v>
      </c>
      <c r="H8" s="81"/>
      <c r="I8" s="81"/>
      <c r="J8" s="29"/>
      <c r="K8" s="11"/>
      <c r="L8" s="11"/>
      <c r="N8" s="30" t="s">
        <v>21</v>
      </c>
      <c r="O8" s="23" t="s">
        <v>39</v>
      </c>
      <c r="P8" s="23" t="s">
        <v>42</v>
      </c>
      <c r="Q8" s="23" t="s">
        <v>43</v>
      </c>
      <c r="R8" s="23" t="s">
        <v>25</v>
      </c>
      <c r="S8" s="23"/>
      <c r="T8" s="23"/>
      <c r="U8" s="31"/>
      <c r="X8" s="30" t="s">
        <v>79</v>
      </c>
      <c r="Y8" s="23" t="s">
        <v>39</v>
      </c>
      <c r="Z8" s="23" t="s">
        <v>94</v>
      </c>
      <c r="AA8" s="23" t="s">
        <v>95</v>
      </c>
      <c r="AB8" s="23" t="s">
        <v>38</v>
      </c>
      <c r="AC8" s="23" t="s">
        <v>88</v>
      </c>
      <c r="AD8" s="31"/>
    </row>
    <row r="9" spans="2:30">
      <c r="B9" s="82"/>
      <c r="C9" s="80"/>
      <c r="D9" s="80"/>
      <c r="E9" s="63" t="s">
        <v>68</v>
      </c>
      <c r="F9" s="81"/>
      <c r="G9" s="81"/>
      <c r="H9" s="81"/>
      <c r="I9" s="81"/>
      <c r="J9" s="29"/>
      <c r="K9" s="11"/>
      <c r="L9" s="11"/>
      <c r="N9" s="28" t="s">
        <v>21</v>
      </c>
      <c r="O9" s="22" t="s">
        <v>39</v>
      </c>
      <c r="P9" s="22" t="s">
        <v>44</v>
      </c>
      <c r="Q9" s="22" t="s">
        <v>45</v>
      </c>
      <c r="R9" s="22" t="s">
        <v>25</v>
      </c>
      <c r="S9" s="22"/>
      <c r="T9" s="22"/>
      <c r="U9" s="29"/>
      <c r="X9" s="28" t="s">
        <v>79</v>
      </c>
      <c r="Y9" s="22" t="s">
        <v>39</v>
      </c>
      <c r="Z9" s="22" t="s">
        <v>96</v>
      </c>
      <c r="AA9" s="22" t="s">
        <v>97</v>
      </c>
      <c r="AB9" s="22" t="s">
        <v>38</v>
      </c>
      <c r="AC9" s="22" t="s">
        <v>88</v>
      </c>
      <c r="AD9" s="29"/>
    </row>
    <row r="10" spans="2:30">
      <c r="B10" s="82"/>
      <c r="C10" s="80"/>
      <c r="D10" s="80"/>
      <c r="E10" s="64" t="s">
        <v>42</v>
      </c>
      <c r="F10" s="81"/>
      <c r="G10" s="81"/>
      <c r="H10" s="79">
        <v>2.9279999999999999</v>
      </c>
      <c r="I10" s="81"/>
      <c r="J10" s="29"/>
      <c r="K10" s="11"/>
      <c r="L10" s="11"/>
      <c r="N10" s="30" t="s">
        <v>21</v>
      </c>
      <c r="O10" s="23" t="s">
        <v>39</v>
      </c>
      <c r="P10" s="23" t="s">
        <v>46</v>
      </c>
      <c r="Q10" s="23" t="s">
        <v>47</v>
      </c>
      <c r="R10" s="23" t="s">
        <v>25</v>
      </c>
      <c r="S10" s="23"/>
      <c r="T10" s="23"/>
      <c r="U10" s="31"/>
      <c r="X10" s="30" t="s">
        <v>79</v>
      </c>
      <c r="Y10" s="23" t="s">
        <v>39</v>
      </c>
      <c r="Z10" s="23" t="s">
        <v>98</v>
      </c>
      <c r="AA10" s="23" t="s">
        <v>99</v>
      </c>
      <c r="AB10" s="23" t="s">
        <v>38</v>
      </c>
      <c r="AC10" s="23" t="s">
        <v>88</v>
      </c>
      <c r="AD10" s="31"/>
    </row>
    <row r="11" spans="2:30">
      <c r="B11" s="70" t="s">
        <v>96</v>
      </c>
      <c r="C11" s="71" t="s">
        <v>97</v>
      </c>
      <c r="D11" s="68"/>
      <c r="E11" s="71"/>
      <c r="F11" s="72">
        <v>11727.41</v>
      </c>
      <c r="G11" s="73"/>
      <c r="H11" s="74"/>
      <c r="I11" s="72">
        <v>1</v>
      </c>
      <c r="J11" s="75">
        <v>1</v>
      </c>
      <c r="K11" s="11"/>
      <c r="L11" s="11"/>
      <c r="N11" s="28" t="s">
        <v>21</v>
      </c>
      <c r="O11" s="22" t="s">
        <v>39</v>
      </c>
      <c r="P11" s="22" t="s">
        <v>48</v>
      </c>
      <c r="Q11" s="22" t="s">
        <v>49</v>
      </c>
      <c r="R11" s="22" t="s">
        <v>25</v>
      </c>
      <c r="S11" s="22"/>
      <c r="T11" s="22"/>
      <c r="U11" s="29"/>
      <c r="X11" s="28" t="s">
        <v>79</v>
      </c>
      <c r="Y11" s="22" t="s">
        <v>39</v>
      </c>
      <c r="Z11" s="22" t="s">
        <v>100</v>
      </c>
      <c r="AA11" s="22" t="s">
        <v>100</v>
      </c>
      <c r="AB11" s="22" t="s">
        <v>38</v>
      </c>
      <c r="AC11" s="22" t="s">
        <v>88</v>
      </c>
      <c r="AD11" s="29"/>
    </row>
    <row r="12" spans="2:30">
      <c r="B12" s="76"/>
      <c r="C12" s="68"/>
      <c r="D12" s="77" t="s">
        <v>58</v>
      </c>
      <c r="E12" s="71"/>
      <c r="F12" s="74"/>
      <c r="G12" s="78">
        <v>1</v>
      </c>
      <c r="H12" s="74"/>
      <c r="I12" s="74"/>
      <c r="J12" s="31"/>
      <c r="K12" s="11"/>
      <c r="L12" s="11"/>
      <c r="N12" s="30" t="s">
        <v>21</v>
      </c>
      <c r="O12" s="23" t="s">
        <v>39</v>
      </c>
      <c r="P12" s="23" t="s">
        <v>50</v>
      </c>
      <c r="Q12" s="23" t="s">
        <v>49</v>
      </c>
      <c r="R12" s="23" t="s">
        <v>25</v>
      </c>
      <c r="S12" s="23"/>
      <c r="T12" s="23"/>
      <c r="U12" s="31"/>
      <c r="X12" s="30" t="s">
        <v>79</v>
      </c>
      <c r="Y12" s="23" t="s">
        <v>39</v>
      </c>
      <c r="Z12" s="23" t="s">
        <v>101</v>
      </c>
      <c r="AA12" s="23" t="s">
        <v>101</v>
      </c>
      <c r="AB12" s="23" t="s">
        <v>25</v>
      </c>
      <c r="AC12" s="23" t="s">
        <v>25</v>
      </c>
      <c r="AD12" s="31"/>
    </row>
    <row r="13" spans="2:30">
      <c r="B13" s="76"/>
      <c r="C13" s="71"/>
      <c r="D13" s="71"/>
      <c r="E13" s="63" t="s">
        <v>69</v>
      </c>
      <c r="F13" s="74"/>
      <c r="G13" s="73"/>
      <c r="H13" s="74"/>
      <c r="I13" s="74"/>
      <c r="J13" s="31"/>
      <c r="N13" s="28" t="s">
        <v>21</v>
      </c>
      <c r="O13" s="22" t="s">
        <v>39</v>
      </c>
      <c r="P13" s="22" t="s">
        <v>51</v>
      </c>
      <c r="Q13" s="22" t="s">
        <v>49</v>
      </c>
      <c r="R13" s="22" t="s">
        <v>25</v>
      </c>
      <c r="S13" s="22"/>
      <c r="T13" s="22"/>
      <c r="U13" s="29"/>
      <c r="X13" s="28" t="s">
        <v>79</v>
      </c>
      <c r="Y13" s="22" t="s">
        <v>39</v>
      </c>
      <c r="Z13" s="22" t="s">
        <v>102</v>
      </c>
      <c r="AA13" s="22" t="s">
        <v>102</v>
      </c>
      <c r="AB13" s="22" t="s">
        <v>25</v>
      </c>
      <c r="AC13" s="22" t="s">
        <v>25</v>
      </c>
      <c r="AD13" s="29"/>
    </row>
    <row r="14" spans="2:30">
      <c r="B14" s="76"/>
      <c r="C14" s="71"/>
      <c r="D14" s="71"/>
      <c r="E14" s="64" t="s">
        <v>44</v>
      </c>
      <c r="F14" s="74"/>
      <c r="G14" s="74"/>
      <c r="H14" s="79">
        <v>0.67500000000000004</v>
      </c>
      <c r="I14" s="74"/>
      <c r="J14" s="31"/>
      <c r="N14" s="30" t="s">
        <v>21</v>
      </c>
      <c r="O14" s="23" t="s">
        <v>39</v>
      </c>
      <c r="P14" s="23" t="s">
        <v>52</v>
      </c>
      <c r="Q14" s="23" t="s">
        <v>49</v>
      </c>
      <c r="R14" s="23" t="s">
        <v>25</v>
      </c>
      <c r="S14" s="23"/>
      <c r="T14" s="23"/>
      <c r="U14" s="31"/>
      <c r="X14" s="30" t="s">
        <v>79</v>
      </c>
      <c r="Y14" s="23" t="s">
        <v>39</v>
      </c>
      <c r="Z14" s="23" t="s">
        <v>103</v>
      </c>
      <c r="AA14" s="23" t="s">
        <v>103</v>
      </c>
      <c r="AB14" s="23" t="s">
        <v>25</v>
      </c>
      <c r="AC14" s="23" t="s">
        <v>25</v>
      </c>
      <c r="AD14" s="31"/>
    </row>
    <row r="15" spans="2:30">
      <c r="B15" s="70" t="s">
        <v>98</v>
      </c>
      <c r="C15" s="83" t="s">
        <v>99</v>
      </c>
      <c r="D15" s="83"/>
      <c r="E15" s="83"/>
      <c r="F15" s="72">
        <v>205774.511</v>
      </c>
      <c r="G15" s="84"/>
      <c r="H15" s="85"/>
      <c r="I15" s="72">
        <v>1</v>
      </c>
      <c r="J15" s="75">
        <v>1</v>
      </c>
      <c r="N15" s="28" t="s">
        <v>21</v>
      </c>
      <c r="O15" s="22" t="s">
        <v>39</v>
      </c>
      <c r="P15" s="22" t="s">
        <v>53</v>
      </c>
      <c r="Q15" s="22" t="s">
        <v>49</v>
      </c>
      <c r="R15" s="22" t="s">
        <v>25</v>
      </c>
      <c r="S15" s="22"/>
      <c r="T15" s="22"/>
      <c r="U15" s="29"/>
      <c r="X15" s="28" t="s">
        <v>79</v>
      </c>
      <c r="Y15" s="22" t="s">
        <v>39</v>
      </c>
      <c r="Z15" s="22" t="s">
        <v>104</v>
      </c>
      <c r="AA15" s="22" t="s">
        <v>104</v>
      </c>
      <c r="AB15" s="22" t="s">
        <v>25</v>
      </c>
      <c r="AC15" s="22" t="s">
        <v>25</v>
      </c>
      <c r="AD15" s="29"/>
    </row>
    <row r="16" spans="2:30">
      <c r="B16" s="86"/>
      <c r="C16" s="83"/>
      <c r="D16" s="77" t="s">
        <v>58</v>
      </c>
      <c r="E16" s="83"/>
      <c r="F16" s="85"/>
      <c r="G16" s="78">
        <v>1</v>
      </c>
      <c r="H16" s="85"/>
      <c r="I16" s="85"/>
      <c r="J16" s="87"/>
      <c r="N16" s="30" t="s">
        <v>21</v>
      </c>
      <c r="O16" s="23" t="s">
        <v>39</v>
      </c>
      <c r="P16" s="23" t="s">
        <v>54</v>
      </c>
      <c r="Q16" s="23" t="s">
        <v>49</v>
      </c>
      <c r="R16" s="23" t="s">
        <v>25</v>
      </c>
      <c r="S16" s="23"/>
      <c r="T16" s="23"/>
      <c r="U16" s="31"/>
      <c r="X16" s="30" t="s">
        <v>79</v>
      </c>
      <c r="Y16" s="23" t="s">
        <v>39</v>
      </c>
      <c r="Z16" s="23" t="s">
        <v>105</v>
      </c>
      <c r="AA16" s="23" t="s">
        <v>105</v>
      </c>
      <c r="AB16" s="23" t="s">
        <v>25</v>
      </c>
      <c r="AC16" s="23" t="s">
        <v>25</v>
      </c>
      <c r="AD16" s="31"/>
    </row>
    <row r="17" spans="2:30">
      <c r="B17" s="86"/>
      <c r="C17" s="83"/>
      <c r="D17" s="83"/>
      <c r="E17" s="63" t="s">
        <v>70</v>
      </c>
      <c r="F17" s="85"/>
      <c r="G17" s="85"/>
      <c r="H17" s="85"/>
      <c r="I17" s="85"/>
      <c r="J17" s="87"/>
      <c r="N17" s="28" t="s">
        <v>21</v>
      </c>
      <c r="O17" s="22" t="s">
        <v>39</v>
      </c>
      <c r="P17" s="22" t="s">
        <v>55</v>
      </c>
      <c r="Q17" s="22" t="s">
        <v>49</v>
      </c>
      <c r="R17" s="22" t="s">
        <v>25</v>
      </c>
      <c r="S17" s="22"/>
      <c r="T17" s="22"/>
      <c r="U17" s="29"/>
      <c r="X17" s="28" t="s">
        <v>79</v>
      </c>
      <c r="Y17" s="22" t="s">
        <v>39</v>
      </c>
      <c r="Z17" s="22" t="s">
        <v>106</v>
      </c>
      <c r="AA17" s="22" t="s">
        <v>106</v>
      </c>
      <c r="AB17" s="22" t="s">
        <v>25</v>
      </c>
      <c r="AC17" s="22" t="s">
        <v>25</v>
      </c>
      <c r="AD17" s="29"/>
    </row>
    <row r="18" spans="2:30">
      <c r="B18" s="88"/>
      <c r="C18" s="89"/>
      <c r="D18" s="89"/>
      <c r="E18" s="42" t="s">
        <v>46</v>
      </c>
      <c r="F18" s="90"/>
      <c r="G18" s="90"/>
      <c r="H18" s="91">
        <v>1.125E-2</v>
      </c>
      <c r="I18" s="90"/>
      <c r="J18" s="92"/>
      <c r="N18" s="30" t="s">
        <v>21</v>
      </c>
      <c r="O18" s="23" t="s">
        <v>39</v>
      </c>
      <c r="P18" s="23" t="s">
        <v>56</v>
      </c>
      <c r="Q18" s="23" t="s">
        <v>49</v>
      </c>
      <c r="R18" s="23" t="s">
        <v>25</v>
      </c>
      <c r="S18" s="23"/>
      <c r="T18" s="23"/>
      <c r="U18" s="31"/>
      <c r="X18" s="30" t="s">
        <v>79</v>
      </c>
      <c r="Y18" s="23" t="s">
        <v>39</v>
      </c>
      <c r="Z18" s="23" t="s">
        <v>107</v>
      </c>
      <c r="AA18" s="23" t="s">
        <v>107</v>
      </c>
      <c r="AB18" s="23" t="s">
        <v>25</v>
      </c>
      <c r="AC18" s="23" t="s">
        <v>25</v>
      </c>
      <c r="AD18" s="31"/>
    </row>
    <row r="19" spans="2:30">
      <c r="N19" s="28" t="s">
        <v>57</v>
      </c>
      <c r="O19" s="22" t="s">
        <v>39</v>
      </c>
      <c r="P19" s="22" t="s">
        <v>58</v>
      </c>
      <c r="Q19" s="22" t="s">
        <v>59</v>
      </c>
      <c r="R19" s="22" t="s">
        <v>60</v>
      </c>
      <c r="S19" s="22"/>
      <c r="T19" s="22"/>
      <c r="U19" s="29"/>
      <c r="X19" s="35" t="s">
        <v>79</v>
      </c>
      <c r="Y19" s="36" t="s">
        <v>39</v>
      </c>
      <c r="Z19" s="36" t="s">
        <v>108</v>
      </c>
      <c r="AA19" s="36" t="s">
        <v>108</v>
      </c>
      <c r="AB19" s="36" t="s">
        <v>25</v>
      </c>
      <c r="AC19" s="36" t="s">
        <v>25</v>
      </c>
      <c r="AD19" s="37"/>
    </row>
    <row r="20" spans="2:30">
      <c r="N20" s="30" t="s">
        <v>57</v>
      </c>
      <c r="O20" s="23" t="s">
        <v>39</v>
      </c>
      <c r="P20" s="23" t="s">
        <v>61</v>
      </c>
      <c r="Q20" s="23" t="s">
        <v>59</v>
      </c>
      <c r="R20" s="23" t="s">
        <v>62</v>
      </c>
      <c r="S20" s="23"/>
      <c r="T20" s="23"/>
      <c r="U20" s="31"/>
    </row>
    <row r="21" spans="2:30">
      <c r="D21" s="5" t="s">
        <v>11</v>
      </c>
      <c r="E21" s="5"/>
      <c r="F21" s="5"/>
      <c r="H21" s="5"/>
      <c r="I21" s="10"/>
      <c r="J21" s="10"/>
      <c r="N21" s="28" t="s">
        <v>21</v>
      </c>
      <c r="O21" s="22" t="s">
        <v>39</v>
      </c>
      <c r="P21" s="22" t="s">
        <v>63</v>
      </c>
      <c r="Q21" s="22" t="s">
        <v>64</v>
      </c>
      <c r="R21" s="22" t="s">
        <v>60</v>
      </c>
      <c r="S21" s="22"/>
      <c r="T21" s="22"/>
      <c r="U21" s="29"/>
    </row>
    <row r="22" spans="2:30">
      <c r="B22" s="59" t="s">
        <v>1</v>
      </c>
      <c r="C22" s="12" t="s">
        <v>111</v>
      </c>
      <c r="D22" s="12" t="s">
        <v>5</v>
      </c>
      <c r="E22" s="12" t="s">
        <v>6</v>
      </c>
      <c r="F22" s="13" t="s">
        <v>27</v>
      </c>
      <c r="G22" s="12" t="s">
        <v>112</v>
      </c>
      <c r="H22" s="12" t="s">
        <v>113</v>
      </c>
      <c r="I22" s="12" t="s">
        <v>114</v>
      </c>
      <c r="J22" s="12" t="s">
        <v>115</v>
      </c>
      <c r="K22" s="60" t="s">
        <v>28</v>
      </c>
      <c r="N22" s="30" t="s">
        <v>21</v>
      </c>
      <c r="O22" s="23" t="s">
        <v>39</v>
      </c>
      <c r="P22" s="23" t="s">
        <v>65</v>
      </c>
      <c r="Q22" s="23" t="s">
        <v>66</v>
      </c>
      <c r="R22" s="23" t="s">
        <v>60</v>
      </c>
      <c r="S22" s="23"/>
      <c r="T22" s="23"/>
      <c r="U22" s="31"/>
    </row>
    <row r="23" spans="2:30">
      <c r="B23" s="43" t="s">
        <v>101</v>
      </c>
      <c r="C23" s="38" t="s">
        <v>101</v>
      </c>
      <c r="D23" s="47"/>
      <c r="E23" s="47"/>
      <c r="F23" s="39">
        <v>2373.3000000000002</v>
      </c>
      <c r="G23" s="47"/>
      <c r="H23" s="47"/>
      <c r="I23" s="38">
        <v>1</v>
      </c>
      <c r="J23" s="47"/>
      <c r="K23" s="40">
        <v>1</v>
      </c>
      <c r="N23" s="28" t="s">
        <v>24</v>
      </c>
      <c r="O23" s="22" t="s">
        <v>39</v>
      </c>
      <c r="P23" s="22" t="s">
        <v>67</v>
      </c>
      <c r="Q23" s="22" t="s">
        <v>67</v>
      </c>
      <c r="R23" s="22" t="s">
        <v>25</v>
      </c>
      <c r="S23" s="22"/>
      <c r="T23" s="22"/>
      <c r="U23" s="29"/>
    </row>
    <row r="24" spans="2:30">
      <c r="B24" s="44"/>
      <c r="C24" s="61"/>
      <c r="D24" s="62" t="s">
        <v>61</v>
      </c>
      <c r="E24" s="61"/>
      <c r="F24" s="61"/>
      <c r="G24" s="62">
        <v>1</v>
      </c>
      <c r="H24" s="61"/>
      <c r="I24" s="61"/>
      <c r="J24" s="61"/>
      <c r="K24" s="49"/>
      <c r="N24" s="30" t="s">
        <v>24</v>
      </c>
      <c r="O24" s="23" t="s">
        <v>39</v>
      </c>
      <c r="P24" s="23" t="s">
        <v>68</v>
      </c>
      <c r="Q24" s="23" t="s">
        <v>68</v>
      </c>
      <c r="R24" s="23" t="s">
        <v>25</v>
      </c>
      <c r="S24" s="23"/>
      <c r="T24" s="23"/>
      <c r="U24" s="31"/>
    </row>
    <row r="25" spans="2:30">
      <c r="B25" s="44"/>
      <c r="C25" s="61"/>
      <c r="D25" s="61"/>
      <c r="E25" s="63" t="s">
        <v>71</v>
      </c>
      <c r="F25" s="61"/>
      <c r="G25" s="61"/>
      <c r="H25" s="61"/>
      <c r="I25" s="61"/>
      <c r="J25" s="63">
        <v>5.34</v>
      </c>
      <c r="K25" s="49"/>
      <c r="M25" s="1"/>
      <c r="N25" s="28" t="s">
        <v>24</v>
      </c>
      <c r="O25" s="22" t="s">
        <v>39</v>
      </c>
      <c r="P25" s="22" t="s">
        <v>69</v>
      </c>
      <c r="Q25" s="22" t="s">
        <v>69</v>
      </c>
      <c r="R25" s="22" t="s">
        <v>25</v>
      </c>
      <c r="S25" s="22"/>
      <c r="T25" s="22"/>
      <c r="U25" s="29"/>
    </row>
    <row r="26" spans="2:30">
      <c r="B26" s="44"/>
      <c r="C26" s="61"/>
      <c r="D26" s="61"/>
      <c r="E26" s="64" t="s">
        <v>48</v>
      </c>
      <c r="F26" s="61"/>
      <c r="G26" s="61"/>
      <c r="H26" s="64">
        <v>0.78389961188850954</v>
      </c>
      <c r="I26" s="61"/>
      <c r="J26" s="61"/>
      <c r="K26" s="49"/>
      <c r="M26" s="1"/>
      <c r="N26" s="30" t="s">
        <v>24</v>
      </c>
      <c r="O26" s="23" t="s">
        <v>39</v>
      </c>
      <c r="P26" s="23" t="s">
        <v>70</v>
      </c>
      <c r="Q26" s="23" t="s">
        <v>70</v>
      </c>
      <c r="R26" s="23" t="s">
        <v>25</v>
      </c>
      <c r="S26" s="23"/>
      <c r="T26" s="23"/>
      <c r="U26" s="31"/>
    </row>
    <row r="27" spans="2:30">
      <c r="B27" s="44" t="s">
        <v>102</v>
      </c>
      <c r="C27" s="65" t="s">
        <v>102</v>
      </c>
      <c r="D27" s="61"/>
      <c r="E27" s="61"/>
      <c r="F27" s="65">
        <v>675.3</v>
      </c>
      <c r="G27" s="61"/>
      <c r="H27" s="61"/>
      <c r="I27" s="65">
        <v>1</v>
      </c>
      <c r="J27" s="61"/>
      <c r="K27" s="41">
        <v>1</v>
      </c>
      <c r="M27" s="1"/>
      <c r="N27" s="28" t="s">
        <v>24</v>
      </c>
      <c r="O27" s="22" t="s">
        <v>39</v>
      </c>
      <c r="P27" s="22" t="s">
        <v>71</v>
      </c>
      <c r="Q27" s="22" t="s">
        <v>49</v>
      </c>
      <c r="R27" s="22" t="s">
        <v>25</v>
      </c>
      <c r="S27" s="22"/>
      <c r="T27" s="22"/>
      <c r="U27" s="29"/>
    </row>
    <row r="28" spans="2:30">
      <c r="B28" s="44"/>
      <c r="C28" s="61"/>
      <c r="D28" s="62" t="s">
        <v>61</v>
      </c>
      <c r="E28" s="61"/>
      <c r="F28" s="61"/>
      <c r="G28" s="62">
        <v>1</v>
      </c>
      <c r="H28" s="61"/>
      <c r="I28" s="61"/>
      <c r="J28" s="61"/>
      <c r="K28" s="49"/>
      <c r="M28" s="1"/>
      <c r="N28" s="30" t="s">
        <v>24</v>
      </c>
      <c r="O28" s="23" t="s">
        <v>39</v>
      </c>
      <c r="P28" s="23" t="s">
        <v>72</v>
      </c>
      <c r="Q28" s="23" t="s">
        <v>49</v>
      </c>
      <c r="R28" s="23" t="s">
        <v>25</v>
      </c>
      <c r="S28" s="23"/>
      <c r="T28" s="23"/>
      <c r="U28" s="31"/>
    </row>
    <row r="29" spans="2:30">
      <c r="B29" s="44"/>
      <c r="C29" s="61"/>
      <c r="D29" s="61"/>
      <c r="E29" s="63" t="s">
        <v>72</v>
      </c>
      <c r="F29" s="61"/>
      <c r="G29" s="61"/>
      <c r="H29" s="61"/>
      <c r="I29" s="61"/>
      <c r="J29" s="63">
        <v>4.4399999999999995</v>
      </c>
      <c r="K29" s="49"/>
      <c r="N29" s="28" t="s">
        <v>24</v>
      </c>
      <c r="O29" s="22" t="s">
        <v>39</v>
      </c>
      <c r="P29" s="22" t="s">
        <v>73</v>
      </c>
      <c r="Q29" s="22" t="s">
        <v>49</v>
      </c>
      <c r="R29" s="22" t="s">
        <v>25</v>
      </c>
      <c r="S29" s="22"/>
      <c r="T29" s="22"/>
      <c r="U29" s="29"/>
    </row>
    <row r="30" spans="2:30">
      <c r="B30" s="44"/>
      <c r="C30" s="61"/>
      <c r="D30" s="61"/>
      <c r="E30" s="64" t="s">
        <v>50</v>
      </c>
      <c r="F30" s="61"/>
      <c r="G30" s="61"/>
      <c r="H30" s="64">
        <v>0.58652764282541103</v>
      </c>
      <c r="I30" s="61"/>
      <c r="J30" s="61"/>
      <c r="K30" s="49"/>
      <c r="N30" s="30" t="s">
        <v>24</v>
      </c>
      <c r="O30" s="23" t="s">
        <v>39</v>
      </c>
      <c r="P30" s="23" t="s">
        <v>74</v>
      </c>
      <c r="Q30" s="23" t="s">
        <v>49</v>
      </c>
      <c r="R30" s="23" t="s">
        <v>25</v>
      </c>
      <c r="S30" s="23"/>
      <c r="T30" s="23"/>
      <c r="U30" s="31"/>
    </row>
    <row r="31" spans="2:30">
      <c r="B31" s="44" t="s">
        <v>103</v>
      </c>
      <c r="C31" s="65" t="s">
        <v>103</v>
      </c>
      <c r="D31" s="61"/>
      <c r="E31" s="61"/>
      <c r="F31" s="65">
        <v>946.1</v>
      </c>
      <c r="G31" s="61"/>
      <c r="H31" s="61"/>
      <c r="I31" s="65">
        <v>1</v>
      </c>
      <c r="J31" s="61"/>
      <c r="K31" s="41">
        <v>1</v>
      </c>
      <c r="N31" s="28" t="s">
        <v>24</v>
      </c>
      <c r="O31" s="22" t="s">
        <v>39</v>
      </c>
      <c r="P31" s="22" t="s">
        <v>75</v>
      </c>
      <c r="Q31" s="22" t="s">
        <v>49</v>
      </c>
      <c r="R31" s="22" t="s">
        <v>25</v>
      </c>
      <c r="S31" s="22"/>
      <c r="T31" s="22"/>
      <c r="U31" s="29"/>
    </row>
    <row r="32" spans="2:30">
      <c r="B32" s="44"/>
      <c r="C32" s="61"/>
      <c r="D32" s="62" t="s">
        <v>61</v>
      </c>
      <c r="E32" s="61"/>
      <c r="F32" s="61"/>
      <c r="G32" s="62">
        <v>1</v>
      </c>
      <c r="H32" s="61"/>
      <c r="I32" s="61"/>
      <c r="J32" s="61"/>
      <c r="K32" s="49"/>
      <c r="N32" s="30" t="s">
        <v>24</v>
      </c>
      <c r="O32" s="23" t="s">
        <v>39</v>
      </c>
      <c r="P32" s="23" t="s">
        <v>76</v>
      </c>
      <c r="Q32" s="23" t="s">
        <v>49</v>
      </c>
      <c r="R32" s="23" t="s">
        <v>25</v>
      </c>
      <c r="S32" s="23"/>
      <c r="T32" s="23"/>
      <c r="U32" s="31"/>
    </row>
    <row r="33" spans="2:21">
      <c r="B33" s="44"/>
      <c r="C33" s="61"/>
      <c r="D33" s="61"/>
      <c r="E33" s="63" t="s">
        <v>73</v>
      </c>
      <c r="F33" s="61"/>
      <c r="G33" s="61"/>
      <c r="H33" s="61"/>
      <c r="I33" s="61"/>
      <c r="J33" s="66">
        <v>7.2099999999999991</v>
      </c>
      <c r="K33" s="49"/>
      <c r="N33" s="28" t="s">
        <v>24</v>
      </c>
      <c r="O33" s="22" t="s">
        <v>39</v>
      </c>
      <c r="P33" s="22" t="s">
        <v>77</v>
      </c>
      <c r="Q33" s="22" t="s">
        <v>49</v>
      </c>
      <c r="R33" s="22" t="s">
        <v>25</v>
      </c>
      <c r="S33" s="22"/>
      <c r="T33" s="22"/>
      <c r="U33" s="29"/>
    </row>
    <row r="34" spans="2:21">
      <c r="B34" s="44"/>
      <c r="C34" s="61"/>
      <c r="D34" s="61"/>
      <c r="E34" s="64" t="s">
        <v>51</v>
      </c>
      <c r="F34" s="61"/>
      <c r="G34" s="61"/>
      <c r="H34" s="64">
        <v>1.0588164699503224</v>
      </c>
      <c r="I34" s="61"/>
      <c r="J34" s="67" t="s">
        <v>116</v>
      </c>
      <c r="K34" s="49"/>
      <c r="N34" s="32" t="s">
        <v>24</v>
      </c>
      <c r="O34" s="33" t="s">
        <v>39</v>
      </c>
      <c r="P34" s="33" t="s">
        <v>78</v>
      </c>
      <c r="Q34" s="33" t="s">
        <v>49</v>
      </c>
      <c r="R34" s="33" t="s">
        <v>25</v>
      </c>
      <c r="S34" s="33"/>
      <c r="T34" s="33"/>
      <c r="U34" s="34"/>
    </row>
    <row r="35" spans="2:21">
      <c r="B35" s="44" t="s">
        <v>104</v>
      </c>
      <c r="C35" s="65" t="s">
        <v>104</v>
      </c>
      <c r="D35" s="61"/>
      <c r="E35" s="61"/>
      <c r="F35" s="65">
        <v>590.9</v>
      </c>
      <c r="G35" s="68"/>
      <c r="H35" s="61"/>
      <c r="I35" s="65">
        <v>1</v>
      </c>
      <c r="J35" s="61"/>
      <c r="K35" s="41">
        <v>1</v>
      </c>
    </row>
    <row r="36" spans="2:21">
      <c r="B36" s="44"/>
      <c r="C36" s="61"/>
      <c r="D36" s="62" t="s">
        <v>61</v>
      </c>
      <c r="E36" s="61"/>
      <c r="F36" s="61"/>
      <c r="G36" s="62">
        <v>1</v>
      </c>
      <c r="H36" s="61"/>
      <c r="I36" s="61"/>
      <c r="J36" s="68"/>
      <c r="K36" s="49"/>
    </row>
    <row r="37" spans="2:21">
      <c r="B37" s="44"/>
      <c r="C37" s="61"/>
      <c r="D37" s="61"/>
      <c r="E37" s="63" t="s">
        <v>74</v>
      </c>
      <c r="F37" s="61"/>
      <c r="G37" s="61"/>
      <c r="H37" s="61"/>
      <c r="I37" s="61"/>
      <c r="J37" s="66">
        <v>3.5200000000000005</v>
      </c>
      <c r="K37" s="49"/>
    </row>
    <row r="38" spans="2:21">
      <c r="B38" s="44"/>
      <c r="C38" s="61"/>
      <c r="D38" s="61"/>
      <c r="E38" s="64" t="s">
        <v>52</v>
      </c>
      <c r="F38" s="61"/>
      <c r="G38" s="61"/>
      <c r="H38" s="64">
        <v>0.52271761254019289</v>
      </c>
      <c r="I38" s="61"/>
      <c r="J38" s="61"/>
      <c r="K38" s="49"/>
    </row>
    <row r="39" spans="2:21">
      <c r="B39" s="44" t="s">
        <v>105</v>
      </c>
      <c r="C39" s="65" t="s">
        <v>105</v>
      </c>
      <c r="D39" s="61"/>
      <c r="E39" s="61"/>
      <c r="F39" s="69">
        <v>1389</v>
      </c>
      <c r="G39" s="61"/>
      <c r="H39" s="61"/>
      <c r="I39" s="65">
        <v>1</v>
      </c>
      <c r="J39" s="61"/>
      <c r="K39" s="41">
        <v>1</v>
      </c>
    </row>
    <row r="40" spans="2:21">
      <c r="B40" s="44"/>
      <c r="C40" s="61"/>
      <c r="D40" s="62" t="s">
        <v>61</v>
      </c>
      <c r="E40" s="61"/>
      <c r="F40" s="61"/>
      <c r="G40" s="62">
        <v>1</v>
      </c>
      <c r="H40" s="61"/>
      <c r="I40" s="61"/>
      <c r="J40" s="61"/>
      <c r="K40" s="49"/>
    </row>
    <row r="41" spans="2:21">
      <c r="B41" s="44"/>
      <c r="C41" s="61"/>
      <c r="D41" s="61"/>
      <c r="E41" s="63" t="s">
        <v>75</v>
      </c>
      <c r="F41" s="61"/>
      <c r="G41" s="61"/>
      <c r="H41" s="61"/>
      <c r="I41" s="61"/>
      <c r="J41" s="63">
        <v>4.46</v>
      </c>
      <c r="K41" s="49"/>
    </row>
    <row r="42" spans="2:21">
      <c r="B42" s="44"/>
      <c r="C42" s="61"/>
      <c r="D42" s="61"/>
      <c r="E42" s="64" t="s">
        <v>53</v>
      </c>
      <c r="F42" s="61"/>
      <c r="G42" s="61"/>
      <c r="H42" s="64">
        <v>0.80952866511879074</v>
      </c>
      <c r="I42" s="61"/>
      <c r="J42" s="61"/>
      <c r="K42" s="49"/>
    </row>
    <row r="43" spans="2:21">
      <c r="B43" s="44" t="s">
        <v>106</v>
      </c>
      <c r="C43" s="65" t="s">
        <v>106</v>
      </c>
      <c r="D43" s="61"/>
      <c r="E43" s="61"/>
      <c r="F43" s="65">
        <v>500.1</v>
      </c>
      <c r="G43" s="61"/>
      <c r="H43" s="61"/>
      <c r="I43" s="65">
        <v>1</v>
      </c>
      <c r="J43" s="61"/>
      <c r="K43" s="41">
        <v>1</v>
      </c>
    </row>
    <row r="44" spans="2:21">
      <c r="B44" s="44"/>
      <c r="C44" s="61"/>
      <c r="D44" s="62" t="s">
        <v>61</v>
      </c>
      <c r="E44" s="61"/>
      <c r="F44" s="61"/>
      <c r="G44" s="62">
        <v>1</v>
      </c>
      <c r="H44" s="61"/>
      <c r="I44" s="61"/>
      <c r="J44" s="61"/>
      <c r="K44" s="49"/>
    </row>
    <row r="45" spans="2:21">
      <c r="B45" s="44"/>
      <c r="C45" s="61"/>
      <c r="D45" s="61"/>
      <c r="E45" s="63" t="s">
        <v>76</v>
      </c>
      <c r="F45" s="61"/>
      <c r="G45" s="61"/>
      <c r="H45" s="61"/>
      <c r="I45" s="61"/>
      <c r="J45" s="63">
        <v>3.3200000000000003</v>
      </c>
      <c r="K45" s="49"/>
    </row>
    <row r="46" spans="2:21">
      <c r="B46" s="44"/>
      <c r="C46" s="61"/>
      <c r="D46" s="61"/>
      <c r="E46" s="64" t="s">
        <v>54</v>
      </c>
      <c r="F46" s="61"/>
      <c r="G46" s="61"/>
      <c r="H46" s="64">
        <v>0.60172868116376732</v>
      </c>
      <c r="I46" s="61"/>
      <c r="J46" s="61"/>
      <c r="K46" s="49"/>
    </row>
    <row r="47" spans="2:21">
      <c r="B47" s="44" t="s">
        <v>107</v>
      </c>
      <c r="C47" s="65" t="s">
        <v>107</v>
      </c>
      <c r="D47" s="61"/>
      <c r="E47" s="61"/>
      <c r="F47" s="65">
        <v>843.6</v>
      </c>
      <c r="G47" s="61"/>
      <c r="H47" s="61"/>
      <c r="I47" s="65">
        <v>1</v>
      </c>
      <c r="J47" s="61"/>
      <c r="K47" s="41">
        <v>1</v>
      </c>
    </row>
    <row r="48" spans="2:21">
      <c r="B48" s="44"/>
      <c r="C48" s="61"/>
      <c r="D48" s="62" t="s">
        <v>61</v>
      </c>
      <c r="E48" s="61"/>
      <c r="F48" s="61"/>
      <c r="G48" s="62">
        <v>1</v>
      </c>
      <c r="H48" s="61"/>
      <c r="I48" s="61"/>
      <c r="J48" s="61"/>
      <c r="K48" s="49"/>
    </row>
    <row r="49" spans="2:11">
      <c r="B49" s="44"/>
      <c r="C49" s="61"/>
      <c r="D49" s="61"/>
      <c r="E49" s="63" t="s">
        <v>77</v>
      </c>
      <c r="F49" s="61"/>
      <c r="G49" s="61"/>
      <c r="H49" s="61"/>
      <c r="I49" s="61"/>
      <c r="J49" s="63">
        <v>3.5100000000000002</v>
      </c>
      <c r="K49" s="49"/>
    </row>
    <row r="50" spans="2:11">
      <c r="B50" s="44"/>
      <c r="C50" s="61"/>
      <c r="D50" s="61"/>
      <c r="E50" s="64" t="s">
        <v>55</v>
      </c>
      <c r="F50" s="61"/>
      <c r="G50" s="61"/>
      <c r="H50" s="64">
        <v>3.2383000000000002</v>
      </c>
      <c r="I50" s="61"/>
      <c r="J50" s="61"/>
      <c r="K50" s="49"/>
    </row>
    <row r="51" spans="2:11">
      <c r="B51" s="44" t="s">
        <v>108</v>
      </c>
      <c r="C51" s="65" t="s">
        <v>108</v>
      </c>
      <c r="D51" s="61"/>
      <c r="E51" s="61"/>
      <c r="F51" s="65">
        <v>90.399999999999991</v>
      </c>
      <c r="G51" s="61"/>
      <c r="H51" s="61"/>
      <c r="I51" s="65">
        <v>1</v>
      </c>
      <c r="J51" s="61"/>
      <c r="K51" s="41">
        <v>1</v>
      </c>
    </row>
    <row r="52" spans="2:11">
      <c r="B52" s="44"/>
      <c r="C52" s="61"/>
      <c r="D52" s="62" t="s">
        <v>61</v>
      </c>
      <c r="E52" s="61"/>
      <c r="F52" s="61"/>
      <c r="G52" s="62">
        <v>1</v>
      </c>
      <c r="H52" s="61"/>
      <c r="I52" s="61"/>
      <c r="J52" s="61"/>
      <c r="K52" s="49"/>
    </row>
    <row r="53" spans="2:11">
      <c r="B53" s="44"/>
      <c r="C53" s="61"/>
      <c r="D53" s="61"/>
      <c r="E53" s="63" t="s">
        <v>78</v>
      </c>
      <c r="F53" s="61"/>
      <c r="G53" s="61"/>
      <c r="H53" s="61"/>
      <c r="I53" s="61"/>
      <c r="J53" s="66">
        <v>1.6149999999999998</v>
      </c>
      <c r="K53" s="49"/>
    </row>
    <row r="54" spans="2:11">
      <c r="B54" s="45"/>
      <c r="C54" s="46"/>
      <c r="D54" s="46"/>
      <c r="E54" s="42" t="s">
        <v>56</v>
      </c>
      <c r="F54" s="46"/>
      <c r="G54" s="46"/>
      <c r="H54" s="42">
        <v>0.42731568584070806</v>
      </c>
      <c r="I54" s="46"/>
      <c r="J54" s="46"/>
      <c r="K54" s="48"/>
    </row>
    <row r="69" spans="2:20">
      <c r="D69" s="5"/>
      <c r="E69" s="5"/>
      <c r="F69" s="5" t="s">
        <v>11</v>
      </c>
      <c r="H69" s="5"/>
      <c r="I69" s="10"/>
      <c r="J69" s="10"/>
      <c r="N69" s="5"/>
      <c r="O69" s="5"/>
      <c r="P69" s="5"/>
      <c r="R69" s="5"/>
      <c r="S69" s="10"/>
      <c r="T69" s="10"/>
    </row>
    <row r="73" spans="2:20">
      <c r="B73" s="12" t="s">
        <v>1</v>
      </c>
      <c r="C73" s="12" t="s">
        <v>109</v>
      </c>
      <c r="D73" s="12" t="s">
        <v>5</v>
      </c>
      <c r="E73" s="12" t="s">
        <v>6</v>
      </c>
      <c r="F73" s="13" t="s">
        <v>27</v>
      </c>
      <c r="G73" s="12" t="s">
        <v>117</v>
      </c>
      <c r="H73" s="12" t="s">
        <v>115</v>
      </c>
      <c r="I73" s="12" t="s">
        <v>118</v>
      </c>
      <c r="J73" s="13" t="s">
        <v>119</v>
      </c>
      <c r="K73" s="12" t="s">
        <v>30</v>
      </c>
      <c r="L73" s="12" t="s">
        <v>29</v>
      </c>
      <c r="M73" s="12" t="s">
        <v>114</v>
      </c>
      <c r="N73" s="12" t="s">
        <v>120</v>
      </c>
      <c r="O73" s="12" t="s">
        <v>121</v>
      </c>
      <c r="P73" s="12" t="s">
        <v>122</v>
      </c>
    </row>
    <row r="74" spans="2:20" ht="31.2">
      <c r="B74" s="8" t="s">
        <v>123</v>
      </c>
      <c r="C74" s="8" t="s">
        <v>110</v>
      </c>
      <c r="D74" s="8" t="s">
        <v>124</v>
      </c>
      <c r="E74" s="8" t="s">
        <v>125</v>
      </c>
      <c r="F74" s="8" t="s">
        <v>126</v>
      </c>
      <c r="G74" s="8" t="s">
        <v>127</v>
      </c>
      <c r="H74" s="8" t="s">
        <v>128</v>
      </c>
      <c r="I74" s="8" t="s">
        <v>129</v>
      </c>
      <c r="J74" s="8" t="s">
        <v>130</v>
      </c>
      <c r="K74" s="8"/>
      <c r="L74" s="8"/>
      <c r="M74" s="8" t="s">
        <v>131</v>
      </c>
      <c r="N74" s="8" t="s">
        <v>132</v>
      </c>
      <c r="O74" s="8"/>
      <c r="P74" s="8"/>
    </row>
    <row r="75" spans="2:20">
      <c r="B75" s="50" t="s">
        <v>84</v>
      </c>
      <c r="C75" s="51" t="s">
        <v>85</v>
      </c>
      <c r="D75" s="51"/>
      <c r="E75" s="51"/>
      <c r="F75" s="51">
        <v>0</v>
      </c>
      <c r="G75" s="51"/>
      <c r="H75" s="51"/>
      <c r="I75" s="51"/>
      <c r="J75" s="51"/>
      <c r="K75" s="51">
        <v>0.57499999999999996</v>
      </c>
      <c r="L75" s="51"/>
      <c r="M75" s="51">
        <v>1</v>
      </c>
      <c r="N75" s="51"/>
      <c r="O75" s="51">
        <v>1</v>
      </c>
      <c r="P75" s="52"/>
    </row>
    <row r="76" spans="2:20">
      <c r="B76" s="53"/>
      <c r="D76" t="s">
        <v>48</v>
      </c>
      <c r="I76">
        <v>0.30590000000000001</v>
      </c>
      <c r="J76">
        <v>3.9503432358734485E-2</v>
      </c>
      <c r="N76">
        <v>0.14710689767898008</v>
      </c>
      <c r="P76" s="54">
        <v>3</v>
      </c>
    </row>
    <row r="77" spans="2:20">
      <c r="B77" s="53"/>
      <c r="D77" t="s">
        <v>50</v>
      </c>
      <c r="I77">
        <v>0.30590000000000001</v>
      </c>
      <c r="J77">
        <v>8.4102126741297106E-3</v>
      </c>
      <c r="N77">
        <v>0.14710689767898008</v>
      </c>
      <c r="P77" s="54">
        <v>3</v>
      </c>
    </row>
    <row r="78" spans="2:20">
      <c r="B78" s="53"/>
      <c r="D78" t="s">
        <v>51</v>
      </c>
      <c r="I78">
        <v>0.38854999999999995</v>
      </c>
      <c r="J78">
        <v>2.1270586943794263E-2</v>
      </c>
      <c r="N78">
        <v>0.11581521039763223</v>
      </c>
      <c r="P78" s="54">
        <v>3</v>
      </c>
    </row>
    <row r="79" spans="2:20">
      <c r="B79" s="53"/>
      <c r="D79" t="s">
        <v>52</v>
      </c>
      <c r="I79">
        <v>0.30590000000000001</v>
      </c>
      <c r="J79">
        <v>6.5584749927887608E-3</v>
      </c>
      <c r="N79">
        <v>0.14710689767898008</v>
      </c>
      <c r="P79" s="54">
        <v>3</v>
      </c>
    </row>
    <row r="80" spans="2:20">
      <c r="B80" s="53"/>
      <c r="D80" t="s">
        <v>53</v>
      </c>
      <c r="I80">
        <v>0.30590000000000001</v>
      </c>
      <c r="J80">
        <v>2.3875705905262001E-2</v>
      </c>
      <c r="N80">
        <v>0.14710689767898008</v>
      </c>
      <c r="P80" s="54">
        <v>3</v>
      </c>
    </row>
    <row r="81" spans="2:16">
      <c r="B81" s="53"/>
      <c r="D81" t="s">
        <v>54</v>
      </c>
      <c r="I81">
        <v>0.30590000000000001</v>
      </c>
      <c r="J81">
        <v>6.3896829648978333E-3</v>
      </c>
      <c r="N81">
        <v>0.14710689767898008</v>
      </c>
      <c r="P81" s="54">
        <v>3</v>
      </c>
    </row>
    <row r="82" spans="2:16">
      <c r="B82" s="53"/>
      <c r="D82" t="s">
        <v>55</v>
      </c>
      <c r="I82">
        <v>0.30590000000000001</v>
      </c>
      <c r="J82">
        <v>5.8006330714347756E-2</v>
      </c>
      <c r="N82">
        <v>0.14710689767898008</v>
      </c>
      <c r="P82" s="54">
        <v>3</v>
      </c>
    </row>
    <row r="83" spans="2:16">
      <c r="B83" s="53"/>
      <c r="D83" t="s">
        <v>56</v>
      </c>
      <c r="I83">
        <v>0.30590000000000001</v>
      </c>
      <c r="J83">
        <v>8.2023634476987304E-4</v>
      </c>
      <c r="N83">
        <v>0.14710689767898008</v>
      </c>
      <c r="P83" s="54">
        <v>3</v>
      </c>
    </row>
    <row r="84" spans="2:16">
      <c r="B84" s="53"/>
      <c r="D84" t="s">
        <v>40</v>
      </c>
      <c r="I84">
        <v>9.7849999999999993E-2</v>
      </c>
      <c r="J84">
        <v>0.37574134004647641</v>
      </c>
      <c r="N84">
        <v>0.59785385794583545</v>
      </c>
      <c r="P84" s="54">
        <v>3</v>
      </c>
    </row>
    <row r="85" spans="2:16">
      <c r="B85" s="53"/>
      <c r="D85" t="s">
        <v>42</v>
      </c>
      <c r="I85">
        <v>9.7849999999999993E-2</v>
      </c>
      <c r="J85">
        <v>0.24169799553269838</v>
      </c>
      <c r="N85">
        <v>0.59785385794583545</v>
      </c>
      <c r="P85" s="54">
        <v>3</v>
      </c>
    </row>
    <row r="86" spans="2:16">
      <c r="B86" s="53"/>
      <c r="D86" t="s">
        <v>44</v>
      </c>
      <c r="I86">
        <v>1.1875E-2</v>
      </c>
      <c r="J86">
        <v>0.16808448388662312</v>
      </c>
      <c r="N86">
        <v>4.9263157894736844</v>
      </c>
      <c r="P86" s="54">
        <v>3</v>
      </c>
    </row>
    <row r="87" spans="2:16">
      <c r="B87" s="53"/>
      <c r="D87" t="s">
        <v>46</v>
      </c>
      <c r="I87">
        <v>8.8349999999999998E-2</v>
      </c>
      <c r="J87">
        <v>4.9154789901687937E-2</v>
      </c>
      <c r="N87">
        <v>0.66213921901528017</v>
      </c>
      <c r="P87" s="54">
        <v>3</v>
      </c>
    </row>
    <row r="88" spans="2:16">
      <c r="B88" s="55"/>
      <c r="C88" s="6"/>
      <c r="D88" s="6"/>
      <c r="E88" s="56" t="s">
        <v>32</v>
      </c>
      <c r="F88" s="56"/>
      <c r="G88" s="56">
        <v>23</v>
      </c>
      <c r="H88" s="56">
        <v>2.3E-2</v>
      </c>
      <c r="I88" s="6"/>
      <c r="J88" s="6"/>
      <c r="K88" s="6"/>
      <c r="L88" s="6"/>
      <c r="M88" s="6"/>
      <c r="N88" s="6"/>
      <c r="O88" s="6"/>
      <c r="P88" s="57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O21"/>
  <sheetViews>
    <sheetView zoomScaleNormal="85" workbookViewId="0">
      <selection activeCell="C18" sqref="C18"/>
    </sheetView>
  </sheetViews>
  <sheetFormatPr defaultRowHeight="13.2"/>
  <cols>
    <col min="1" max="1" width="2" bestFit="1" customWidth="1"/>
    <col min="2" max="2" width="26.88671875" customWidth="1"/>
    <col min="3" max="3" width="23.33203125" customWidth="1"/>
    <col min="4" max="4" width="13.33203125" customWidth="1"/>
    <col min="5" max="5" width="7.5546875" bestFit="1" customWidth="1"/>
    <col min="6" max="6" width="8.33203125" bestFit="1" customWidth="1"/>
    <col min="7" max="7" width="13.109375" bestFit="1" customWidth="1"/>
    <col min="8" max="8" width="8.44140625" bestFit="1" customWidth="1"/>
    <col min="9" max="9" width="13.6640625" bestFit="1" customWidth="1"/>
    <col min="10" max="10" width="20" customWidth="1"/>
    <col min="11" max="11" width="11.6640625" customWidth="1"/>
    <col min="12" max="12" width="11.109375" customWidth="1"/>
    <col min="13" max="13" width="19.88671875" customWidth="1"/>
    <col min="14" max="14" width="6.109375" customWidth="1"/>
    <col min="15" max="15" width="11.5546875" customWidth="1"/>
  </cols>
  <sheetData>
    <row r="3" spans="2:7">
      <c r="D3" s="5" t="s">
        <v>11</v>
      </c>
      <c r="G3" s="5"/>
    </row>
    <row r="4" spans="2:7" ht="13.8" thickBot="1">
      <c r="B4" s="2" t="s">
        <v>1</v>
      </c>
      <c r="C4" s="2" t="s">
        <v>109</v>
      </c>
      <c r="D4" s="2" t="s">
        <v>6</v>
      </c>
      <c r="E4" s="15" t="s">
        <v>19</v>
      </c>
    </row>
    <row r="5" spans="2:7" ht="15" customHeight="1">
      <c r="B5" s="25" t="s">
        <v>86</v>
      </c>
      <c r="C5" s="25" t="s">
        <v>87</v>
      </c>
      <c r="D5" s="25" t="s">
        <v>58</v>
      </c>
      <c r="E5" s="25">
        <v>1E-3</v>
      </c>
    </row>
    <row r="6" spans="2:7">
      <c r="B6" t="s">
        <v>89</v>
      </c>
      <c r="C6" t="s">
        <v>90</v>
      </c>
      <c r="D6" t="s">
        <v>61</v>
      </c>
      <c r="E6">
        <v>1E-3</v>
      </c>
    </row>
    <row r="19" spans="1:15" s="1" customFormat="1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</row>
    <row r="21" spans="1:15">
      <c r="A21" s="1"/>
    </row>
  </sheetData>
  <pageMargins left="0.75" right="0.75" top="1" bottom="1" header="0.5" footer="0.5"/>
  <pageSetup orientation="portrait" horizontalDpi="4294967292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I10"/>
  <sheetViews>
    <sheetView tabSelected="1" workbookViewId="0">
      <selection activeCell="F13" sqref="F13"/>
    </sheetView>
  </sheetViews>
  <sheetFormatPr defaultRowHeight="13.2"/>
  <cols>
    <col min="1" max="1" width="2" bestFit="1" customWidth="1"/>
    <col min="2" max="2" width="11.5546875" bestFit="1" customWidth="1"/>
    <col min="3" max="3" width="25.33203125" bestFit="1" customWidth="1"/>
    <col min="4" max="4" width="10.33203125" bestFit="1" customWidth="1"/>
    <col min="5" max="5" width="10.88671875" bestFit="1" customWidth="1"/>
    <col min="6" max="9" width="12.44140625" customWidth="1"/>
    <col min="10" max="10" width="7.33203125" customWidth="1"/>
    <col min="11" max="11" width="11.44140625" bestFit="1" customWidth="1"/>
  </cols>
  <sheetData>
    <row r="2" spans="2:9">
      <c r="C2" s="4" t="s">
        <v>11</v>
      </c>
      <c r="D2" s="4"/>
      <c r="E2" s="1"/>
    </row>
    <row r="3" spans="2:9">
      <c r="B3" s="3" t="s">
        <v>23</v>
      </c>
      <c r="C3" s="3" t="s">
        <v>0</v>
      </c>
      <c r="D3" s="3" t="s">
        <v>26</v>
      </c>
      <c r="E3" s="3">
        <v>2005</v>
      </c>
      <c r="F3" s="14"/>
      <c r="G3" s="14"/>
      <c r="H3" s="14"/>
      <c r="I3" s="14"/>
    </row>
    <row r="4" spans="2:9">
      <c r="B4" s="1" t="s">
        <v>18</v>
      </c>
      <c r="C4" s="1" t="str">
        <f>DemTechs_TPS!P4</f>
        <v>PRI_BIOG_AGR</v>
      </c>
      <c r="D4" s="1" t="s">
        <v>22</v>
      </c>
      <c r="E4" s="58">
        <v>1</v>
      </c>
    </row>
    <row r="5" spans="2:9">
      <c r="B5" s="1" t="s">
        <v>18</v>
      </c>
      <c r="C5" s="1" t="str">
        <f>DemTechs_TPS!P5</f>
        <v>PRI_BIO_CH4_AGR</v>
      </c>
      <c r="D5" s="1" t="s">
        <v>22</v>
      </c>
      <c r="E5" s="58">
        <v>1</v>
      </c>
    </row>
    <row r="6" spans="2:9">
      <c r="G6" s="7"/>
      <c r="H6" s="7"/>
      <c r="I6" s="7"/>
    </row>
    <row r="7" spans="2:9">
      <c r="E7" s="9"/>
    </row>
    <row r="8" spans="2:9">
      <c r="E8" s="7"/>
    </row>
    <row r="10" spans="2:9">
      <c r="E10" s="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993e53c-5804-4a67-93fb-28b8362cd015" xsi:nil="true"/>
    <lcf76f155ced4ddcb4097134ff3c332f xmlns="170e58e9-e7cd-474a-92db-e9a604da91e6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72D86D12BBB4489DD10379CB2942C4" ma:contentTypeVersion="11" ma:contentTypeDescription="Create a new document." ma:contentTypeScope="" ma:versionID="aafb5670a5d5d2b7ddeeb452f3034230">
  <xsd:schema xmlns:xsd="http://www.w3.org/2001/XMLSchema" xmlns:xs="http://www.w3.org/2001/XMLSchema" xmlns:p="http://schemas.microsoft.com/office/2006/metadata/properties" xmlns:ns2="170e58e9-e7cd-474a-92db-e9a604da91e6" xmlns:ns3="2993e53c-5804-4a67-93fb-28b8362cd015" targetNamespace="http://schemas.microsoft.com/office/2006/metadata/properties" ma:root="true" ma:fieldsID="6b35fe0e36b0ef8e9c2fbdc19245eaaa" ns2:_="" ns3:_="">
    <xsd:import namespace="170e58e9-e7cd-474a-92db-e9a604da91e6"/>
    <xsd:import namespace="2993e53c-5804-4a67-93fb-28b8362cd0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0e58e9-e7cd-474a-92db-e9a604da91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93e53c-5804-4a67-93fb-28b8362cd01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4eef6d8-f72a-484d-8b9f-0562379e1c4a}" ma:internalName="TaxCatchAll" ma:showField="CatchAllData" ma:web="2993e53c-5804-4a67-93fb-28b8362cd0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D04E0EA-BEE7-420B-B290-26DC7BB19F48}">
  <ds:schemaRefs>
    <ds:schemaRef ds:uri="http://schemas.microsoft.com/office/2006/metadata/properties"/>
    <ds:schemaRef ds:uri="http://schemas.microsoft.com/office/infopath/2007/PartnerControls"/>
    <ds:schemaRef ds:uri="2993e53c-5804-4a67-93fb-28b8362cd015"/>
    <ds:schemaRef ds:uri="170e58e9-e7cd-474a-92db-e9a604da91e6"/>
  </ds:schemaRefs>
</ds:datastoreItem>
</file>

<file path=customXml/itemProps2.xml><?xml version="1.0" encoding="utf-8"?>
<ds:datastoreItem xmlns:ds="http://schemas.openxmlformats.org/officeDocument/2006/customXml" ds:itemID="{68B12A79-0E21-4334-A37C-08ECB90DAB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0e58e9-e7cd-474a-92db-e9a604da91e6"/>
    <ds:schemaRef ds:uri="2993e53c-5804-4a67-93fb-28b8362cd0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A66D2C6-3728-4C12-95A4-1F5495D5535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DemTechs_TPS</vt:lpstr>
      <vt:lpstr>SUP</vt:lpstr>
      <vt:lpstr>Demands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Patrycja Rzeszut</cp:lastModifiedBy>
  <cp:lastPrinted>2004-11-16T14:57:57Z</cp:lastPrinted>
  <dcterms:created xsi:type="dcterms:W3CDTF">2000-12-13T15:53:11Z</dcterms:created>
  <dcterms:modified xsi:type="dcterms:W3CDTF">2026-01-06T18:38:34Z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919887721538543</vt:r8>
  </property>
  <property fmtid="{D5CDD505-2E9C-101B-9397-08002B2CF9AE}" pid="3" name="ContentTypeId">
    <vt:lpwstr>0x0101003072D86D12BBB4489DD10379CB2942C4</vt:lpwstr>
  </property>
</Properties>
</file>