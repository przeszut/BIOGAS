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5/TIMES-PL - INTEGRACJA 2025/"/>
    </mc:Choice>
  </mc:AlternateContent>
  <xr:revisionPtr revIDLastSave="399" documentId="13_ncr:1_{E3DE95F7-F8B6-403C-939D-98CC5BED9129}" xr6:coauthVersionLast="47" xr6:coauthVersionMax="47" xr10:uidLastSave="{E02AC456-6A90-4FDB-8E89-4F179D60CC12}"/>
  <bookViews>
    <workbookView xWindow="-120" yWindow="-120" windowWidth="38640" windowHeight="21240" tabRatio="901" activeTab="10" xr2:uid="{00000000-000D-0000-FFFF-FFFF00000000}"/>
  </bookViews>
  <sheets>
    <sheet name="Cover" sheetId="151" r:id="rId1"/>
    <sheet name="Metadane" sheetId="152" r:id="rId2"/>
    <sheet name="SEC_Comm" sheetId="112" r:id="rId3"/>
    <sheet name="SEC_Processes" sheetId="140" r:id="rId4"/>
    <sheet name="END_USE_TECH" sheetId="139" r:id="rId5"/>
    <sheet name="HEAT_DEMAND" sheetId="143" r:id="rId6"/>
    <sheet name="ELC_DEMAND" sheetId="142" r:id="rId7"/>
    <sheet name="TFM_DEMAND" sheetId="150" r:id="rId8"/>
    <sheet name="RSD_DEMAND" sheetId="149" r:id="rId9"/>
    <sheet name="IND_DEMAND" sheetId="145" r:id="rId10"/>
    <sheet name="AGR_DEMAND" sheetId="155" r:id="rId11"/>
    <sheet name="OLD_AGR_DEMAND" sheetId="153" r:id="rId12"/>
    <sheet name="COM_DEMAND" sheetId="147" r:id="rId13"/>
    <sheet name="GUS_2020_HT_ELC" sheetId="144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55" l="1"/>
  <c r="F19" i="155" s="1"/>
  <c r="G19" i="155" s="1"/>
  <c r="H19" i="155" s="1"/>
  <c r="I19" i="155" s="1"/>
  <c r="J19" i="155" s="1"/>
  <c r="E23" i="155"/>
  <c r="F23" i="155" s="1"/>
  <c r="G23" i="155" s="1"/>
  <c r="H23" i="155" s="1"/>
  <c r="I23" i="155" s="1"/>
  <c r="J23" i="155" s="1"/>
  <c r="E27" i="155"/>
  <c r="F27" i="155" s="1"/>
  <c r="G27" i="155" s="1"/>
  <c r="H27" i="155" s="1"/>
  <c r="I27" i="155" s="1"/>
  <c r="J27" i="155" s="1"/>
  <c r="E28" i="155"/>
  <c r="F28" i="155" s="1"/>
  <c r="G28" i="155" s="1"/>
  <c r="H28" i="155" s="1"/>
  <c r="I28" i="155" s="1"/>
  <c r="J28" i="155" s="1"/>
  <c r="D13" i="155"/>
  <c r="E13" i="155" s="1"/>
  <c r="F13" i="155" s="1"/>
  <c r="G13" i="155" s="1"/>
  <c r="H13" i="155" s="1"/>
  <c r="I13" i="155" s="1"/>
  <c r="J13" i="155" s="1"/>
  <c r="D12" i="155"/>
  <c r="E12" i="155" s="1"/>
  <c r="F12" i="155" s="1"/>
  <c r="G12" i="155" s="1"/>
  <c r="H12" i="155" s="1"/>
  <c r="I12" i="155" s="1"/>
  <c r="J12" i="155" s="1"/>
  <c r="D11" i="155"/>
  <c r="E11" i="155" s="1"/>
  <c r="F11" i="155" s="1"/>
  <c r="G11" i="155" s="1"/>
  <c r="H11" i="155" s="1"/>
  <c r="I11" i="155" s="1"/>
  <c r="J11" i="155" s="1"/>
  <c r="D10" i="155"/>
  <c r="E10" i="155" s="1"/>
  <c r="F10" i="155" s="1"/>
  <c r="G10" i="155" s="1"/>
  <c r="H10" i="155" s="1"/>
  <c r="I10" i="155" s="1"/>
  <c r="J10" i="155" s="1"/>
  <c r="D9" i="155"/>
  <c r="E9" i="155" s="1"/>
  <c r="F9" i="155" s="1"/>
  <c r="G9" i="155" s="1"/>
  <c r="H9" i="155" s="1"/>
  <c r="I9" i="155" s="1"/>
  <c r="J9" i="155" s="1"/>
  <c r="D8" i="155"/>
  <c r="E8" i="155" s="1"/>
  <c r="F8" i="155" s="1"/>
  <c r="G8" i="155" s="1"/>
  <c r="H8" i="155" s="1"/>
  <c r="I8" i="155" s="1"/>
  <c r="J8" i="155" s="1"/>
  <c r="D26" i="155"/>
  <c r="E26" i="155" s="1"/>
  <c r="F26" i="155" s="1"/>
  <c r="G26" i="155" s="1"/>
  <c r="H26" i="155" s="1"/>
  <c r="I26" i="155" s="1"/>
  <c r="J26" i="155" s="1"/>
  <c r="D25" i="155"/>
  <c r="E25" i="155" s="1"/>
  <c r="F25" i="155" s="1"/>
  <c r="G25" i="155" s="1"/>
  <c r="H25" i="155" s="1"/>
  <c r="I25" i="155" s="1"/>
  <c r="J25" i="155" s="1"/>
  <c r="D24" i="155"/>
  <c r="E24" i="155" s="1"/>
  <c r="F24" i="155" s="1"/>
  <c r="G24" i="155" s="1"/>
  <c r="H24" i="155" s="1"/>
  <c r="I24" i="155" s="1"/>
  <c r="J24" i="155" s="1"/>
  <c r="D23" i="155"/>
  <c r="D22" i="155"/>
  <c r="E22" i="155" s="1"/>
  <c r="F22" i="155" s="1"/>
  <c r="G22" i="155" s="1"/>
  <c r="H22" i="155" s="1"/>
  <c r="I22" i="155" s="1"/>
  <c r="J22" i="155" s="1"/>
  <c r="D21" i="155"/>
  <c r="E21" i="155" s="1"/>
  <c r="F21" i="155" s="1"/>
  <c r="G21" i="155" s="1"/>
  <c r="H21" i="155" s="1"/>
  <c r="I21" i="155" s="1"/>
  <c r="J21" i="155" s="1"/>
  <c r="D20" i="155"/>
  <c r="E20" i="155" s="1"/>
  <c r="F20" i="155" s="1"/>
  <c r="G20" i="155" s="1"/>
  <c r="H20" i="155" s="1"/>
  <c r="I20" i="155" s="1"/>
  <c r="J20" i="155" s="1"/>
  <c r="D19" i="155"/>
  <c r="D18" i="155"/>
  <c r="E18" i="155" s="1"/>
  <c r="F18" i="155" s="1"/>
  <c r="G18" i="155" s="1"/>
  <c r="H18" i="155" s="1"/>
  <c r="I18" i="155" s="1"/>
  <c r="J18" i="155" s="1"/>
  <c r="D17" i="155"/>
  <c r="E17" i="155" s="1"/>
  <c r="F17" i="155" s="1"/>
  <c r="G17" i="155" s="1"/>
  <c r="H17" i="155" s="1"/>
  <c r="I17" i="155" s="1"/>
  <c r="J17" i="155" s="1"/>
  <c r="D16" i="155"/>
  <c r="E16" i="155" s="1"/>
  <c r="F16" i="155" s="1"/>
  <c r="G16" i="155" s="1"/>
  <c r="H16" i="155" s="1"/>
  <c r="I16" i="155" s="1"/>
  <c r="J16" i="155" s="1"/>
  <c r="D15" i="155"/>
  <c r="E15" i="155" s="1"/>
  <c r="F15" i="155" s="1"/>
  <c r="G15" i="155" s="1"/>
  <c r="H15" i="155" s="1"/>
  <c r="I15" i="155" s="1"/>
  <c r="J15" i="155" s="1"/>
  <c r="G18" i="149" l="1"/>
  <c r="G8" i="149" s="1"/>
  <c r="H18" i="149"/>
  <c r="I18" i="149"/>
  <c r="J18" i="149"/>
  <c r="J6" i="149" s="1"/>
  <c r="J11" i="149" s="1"/>
  <c r="K18" i="149"/>
  <c r="F18" i="149"/>
  <c r="I11" i="149"/>
  <c r="J10" i="147"/>
  <c r="F10" i="147"/>
  <c r="G10" i="147"/>
  <c r="H10" i="147"/>
  <c r="I10" i="147"/>
  <c r="E10" i="147"/>
  <c r="F8" i="147"/>
  <c r="G8" i="147"/>
  <c r="H8" i="147"/>
  <c r="I8" i="147"/>
  <c r="J8" i="147"/>
  <c r="E8" i="147"/>
  <c r="H6" i="149"/>
  <c r="H11" i="149" s="1"/>
  <c r="I6" i="149"/>
  <c r="K6" i="149"/>
  <c r="K11" i="149" s="1"/>
  <c r="H7" i="149"/>
  <c r="I7" i="149"/>
  <c r="J7" i="149"/>
  <c r="K7" i="149"/>
  <c r="H8" i="149"/>
  <c r="I8" i="149"/>
  <c r="J8" i="149"/>
  <c r="K8" i="149"/>
  <c r="F8" i="149"/>
  <c r="F7" i="149"/>
  <c r="F6" i="149"/>
  <c r="F11" i="149" s="1"/>
  <c r="E1" i="145"/>
  <c r="E7" i="145" s="1"/>
  <c r="F7" i="145" s="1"/>
  <c r="G7" i="145" s="1"/>
  <c r="H7" i="145" s="1"/>
  <c r="I7" i="145" s="1"/>
  <c r="J7" i="145" s="1"/>
  <c r="J9" i="145" s="1"/>
  <c r="G6" i="149" l="1"/>
  <c r="G7" i="149"/>
  <c r="I9" i="145"/>
  <c r="E9" i="145"/>
  <c r="H9" i="145"/>
  <c r="G9" i="145"/>
  <c r="F9" i="145"/>
  <c r="D18" i="145"/>
  <c r="F18" i="145" s="1"/>
  <c r="D17" i="145"/>
  <c r="F17" i="145" s="1"/>
  <c r="D48" i="142"/>
  <c r="D66" i="142"/>
  <c r="D46" i="142" s="1"/>
  <c r="D47" i="142" s="1"/>
  <c r="D10" i="142" s="1"/>
  <c r="B7" i="149"/>
  <c r="B8" i="149"/>
  <c r="B6" i="149"/>
  <c r="E40" i="142"/>
  <c r="F40" i="142" s="1"/>
  <c r="G40" i="142" s="1"/>
  <c r="H40" i="142" s="1"/>
  <c r="I40" i="142" s="1"/>
  <c r="J40" i="142" s="1"/>
  <c r="K40" i="142" s="1"/>
  <c r="M14" i="142"/>
  <c r="G11" i="149" l="1"/>
  <c r="E18" i="145"/>
  <c r="D49" i="142"/>
  <c r="D51" i="142"/>
  <c r="E17" i="143"/>
  <c r="F20" i="143"/>
  <c r="G20" i="143" s="1"/>
  <c r="H20" i="143" s="1"/>
  <c r="I20" i="143" s="1"/>
  <c r="J20" i="143" s="1"/>
  <c r="K20" i="143" s="1"/>
  <c r="E35" i="143"/>
  <c r="F17" i="143" l="1"/>
  <c r="F9" i="143" s="1"/>
  <c r="E9" i="143"/>
  <c r="G17" i="143" l="1"/>
  <c r="G9" i="143" s="1"/>
  <c r="E21" i="143"/>
  <c r="F21" i="143" s="1"/>
  <c r="G21" i="143" s="1"/>
  <c r="H21" i="143" s="1"/>
  <c r="I21" i="143" s="1"/>
  <c r="J21" i="143" s="1"/>
  <c r="K21" i="143" s="1"/>
  <c r="E19" i="143"/>
  <c r="E20" i="142"/>
  <c r="M20" i="142" s="1"/>
  <c r="E19" i="142"/>
  <c r="M19" i="142" s="1"/>
  <c r="E18" i="142"/>
  <c r="M18" i="142" s="1"/>
  <c r="E17" i="142"/>
  <c r="M17" i="142" s="1"/>
  <c r="E16" i="142"/>
  <c r="M16" i="142" s="1"/>
  <c r="E15" i="142"/>
  <c r="M15" i="142" s="1"/>
  <c r="D7" i="144"/>
  <c r="E7" i="144"/>
  <c r="D8" i="144"/>
  <c r="E8" i="144"/>
  <c r="D9" i="144"/>
  <c r="E9" i="144"/>
  <c r="D10" i="144"/>
  <c r="E10" i="144"/>
  <c r="D11" i="144"/>
  <c r="E11" i="144"/>
  <c r="D12" i="144"/>
  <c r="E12" i="144"/>
  <c r="D13" i="144"/>
  <c r="E13" i="144"/>
  <c r="D14" i="144"/>
  <c r="E14" i="144"/>
  <c r="D15" i="144"/>
  <c r="E15" i="144"/>
  <c r="D16" i="144"/>
  <c r="E16" i="144"/>
  <c r="D17" i="144"/>
  <c r="E17" i="144"/>
  <c r="D18" i="144"/>
  <c r="E18" i="144"/>
  <c r="D19" i="144"/>
  <c r="E19" i="144"/>
  <c r="D20" i="144"/>
  <c r="E20" i="144"/>
  <c r="D21" i="144"/>
  <c r="E21" i="144"/>
  <c r="D22" i="144"/>
  <c r="E22" i="144"/>
  <c r="D23" i="144"/>
  <c r="E23" i="144"/>
  <c r="D24" i="144"/>
  <c r="E24" i="144"/>
  <c r="D25" i="144"/>
  <c r="E25" i="144"/>
  <c r="D26" i="144"/>
  <c r="E26" i="144"/>
  <c r="D27" i="144"/>
  <c r="E27" i="144"/>
  <c r="D28" i="144"/>
  <c r="E28" i="144"/>
  <c r="D29" i="144"/>
  <c r="E29" i="144"/>
  <c r="D30" i="144"/>
  <c r="E30" i="144"/>
  <c r="D31" i="144"/>
  <c r="E31" i="144"/>
  <c r="D32" i="144"/>
  <c r="E32" i="144"/>
  <c r="D33" i="144"/>
  <c r="E33" i="144"/>
  <c r="D34" i="144"/>
  <c r="E34" i="144"/>
  <c r="D35" i="144"/>
  <c r="E35" i="144"/>
  <c r="D36" i="144"/>
  <c r="E36" i="144"/>
  <c r="D37" i="144"/>
  <c r="E37" i="144"/>
  <c r="D38" i="144"/>
  <c r="E38" i="144"/>
  <c r="D39" i="144"/>
  <c r="E39" i="144"/>
  <c r="D40" i="144"/>
  <c r="E40" i="144"/>
  <c r="D41" i="144"/>
  <c r="E41" i="144"/>
  <c r="D42" i="144"/>
  <c r="E42" i="144"/>
  <c r="D43" i="144"/>
  <c r="E43" i="144"/>
  <c r="D44" i="144"/>
  <c r="E44" i="144"/>
  <c r="D45" i="144"/>
  <c r="E45" i="144"/>
  <c r="D46" i="144"/>
  <c r="E46" i="144"/>
  <c r="D47" i="144"/>
  <c r="E47" i="144"/>
  <c r="D48" i="144"/>
  <c r="E48" i="144"/>
  <c r="D49" i="144"/>
  <c r="E49" i="144"/>
  <c r="D50" i="144"/>
  <c r="E50" i="144"/>
  <c r="D51" i="144"/>
  <c r="E51" i="144"/>
  <c r="D52" i="144"/>
  <c r="E52" i="144"/>
  <c r="D53" i="144"/>
  <c r="E53" i="144"/>
  <c r="D54" i="144"/>
  <c r="E54" i="144"/>
  <c r="D55" i="144"/>
  <c r="E55" i="144"/>
  <c r="D56" i="144"/>
  <c r="E56" i="144"/>
  <c r="D57" i="144"/>
  <c r="E57" i="144"/>
  <c r="D58" i="144"/>
  <c r="E58" i="144"/>
  <c r="D59" i="144"/>
  <c r="E59" i="144"/>
  <c r="D60" i="144"/>
  <c r="E60" i="144"/>
  <c r="D61" i="144"/>
  <c r="E61" i="144"/>
  <c r="D62" i="144"/>
  <c r="E62" i="144"/>
  <c r="D63" i="144"/>
  <c r="E63" i="144"/>
  <c r="D64" i="144"/>
  <c r="E64" i="144"/>
  <c r="D65" i="144"/>
  <c r="E65" i="144"/>
  <c r="D66" i="144"/>
  <c r="E66" i="144"/>
  <c r="D67" i="144"/>
  <c r="E67" i="144"/>
  <c r="D68" i="144"/>
  <c r="E68" i="144"/>
  <c r="D69" i="144"/>
  <c r="E69" i="144"/>
  <c r="D70" i="144"/>
  <c r="E70" i="144"/>
  <c r="D71" i="144"/>
  <c r="E71" i="144"/>
  <c r="D72" i="144"/>
  <c r="E72" i="144"/>
  <c r="D73" i="144"/>
  <c r="E73" i="144"/>
  <c r="D74" i="144"/>
  <c r="E74" i="144"/>
  <c r="D75" i="144"/>
  <c r="E75" i="144"/>
  <c r="D76" i="144"/>
  <c r="E76" i="144"/>
  <c r="D77" i="144"/>
  <c r="E77" i="144"/>
  <c r="D78" i="144"/>
  <c r="E78" i="144"/>
  <c r="D79" i="144"/>
  <c r="E79" i="144"/>
  <c r="D80" i="144"/>
  <c r="E80" i="144"/>
  <c r="D81" i="144"/>
  <c r="E81" i="144"/>
  <c r="D82" i="144"/>
  <c r="E82" i="144"/>
  <c r="D83" i="144"/>
  <c r="E83" i="144"/>
  <c r="D84" i="144"/>
  <c r="E84" i="144"/>
  <c r="D85" i="144"/>
  <c r="E85" i="144"/>
  <c r="D86" i="144"/>
  <c r="E86" i="144"/>
  <c r="D87" i="144"/>
  <c r="E87" i="144"/>
  <c r="D88" i="144"/>
  <c r="E88" i="144"/>
  <c r="D89" i="144"/>
  <c r="E89" i="144"/>
  <c r="D90" i="144"/>
  <c r="E90" i="144"/>
  <c r="D91" i="144"/>
  <c r="E91" i="144"/>
  <c r="D92" i="144"/>
  <c r="E92" i="144"/>
  <c r="D93" i="144"/>
  <c r="E93" i="144"/>
  <c r="D94" i="144"/>
  <c r="E94" i="144"/>
  <c r="D95" i="144"/>
  <c r="E95" i="144"/>
  <c r="D96" i="144"/>
  <c r="E96" i="144"/>
  <c r="D97" i="144"/>
  <c r="E97" i="144"/>
  <c r="D98" i="144"/>
  <c r="E98" i="144"/>
  <c r="D99" i="144"/>
  <c r="E99" i="144"/>
  <c r="D100" i="144"/>
  <c r="E100" i="144"/>
  <c r="D101" i="144"/>
  <c r="E101" i="144"/>
  <c r="D102" i="144"/>
  <c r="E102" i="144"/>
  <c r="D103" i="144"/>
  <c r="E103" i="144"/>
  <c r="D104" i="144"/>
  <c r="E104" i="144"/>
  <c r="D105" i="144"/>
  <c r="E105" i="144"/>
  <c r="D106" i="144"/>
  <c r="E106" i="144"/>
  <c r="D107" i="144"/>
  <c r="E107" i="144"/>
  <c r="D108" i="144"/>
  <c r="E108" i="144"/>
  <c r="D109" i="144"/>
  <c r="E109" i="144"/>
  <c r="D110" i="144"/>
  <c r="E110" i="144"/>
  <c r="D111" i="144"/>
  <c r="E111" i="144"/>
  <c r="D112" i="144"/>
  <c r="E112" i="144"/>
  <c r="D113" i="144"/>
  <c r="E113" i="144"/>
  <c r="D114" i="144"/>
  <c r="E114" i="144"/>
  <c r="D115" i="144"/>
  <c r="E115" i="144"/>
  <c r="D116" i="144"/>
  <c r="E116" i="144"/>
  <c r="D117" i="144"/>
  <c r="E117" i="144"/>
  <c r="D118" i="144"/>
  <c r="E118" i="144"/>
  <c r="D119" i="144"/>
  <c r="E119" i="144"/>
  <c r="D120" i="144"/>
  <c r="E120" i="144"/>
  <c r="D121" i="144"/>
  <c r="E121" i="144"/>
  <c r="D122" i="144"/>
  <c r="E122" i="144"/>
  <c r="D123" i="144"/>
  <c r="E123" i="144"/>
  <c r="D124" i="144"/>
  <c r="E124" i="144"/>
  <c r="D125" i="144"/>
  <c r="E125" i="144"/>
  <c r="D126" i="144"/>
  <c r="E126" i="144"/>
  <c r="D127" i="144"/>
  <c r="E127" i="144"/>
  <c r="D128" i="144"/>
  <c r="E128" i="144"/>
  <c r="D129" i="144"/>
  <c r="E129" i="144"/>
  <c r="D130" i="144"/>
  <c r="E130" i="144"/>
  <c r="D131" i="144"/>
  <c r="E131" i="144"/>
  <c r="D132" i="144"/>
  <c r="E132" i="144"/>
  <c r="D133" i="144"/>
  <c r="E133" i="144"/>
  <c r="E6" i="144"/>
  <c r="D6" i="144"/>
  <c r="F6" i="144"/>
  <c r="F73" i="143"/>
  <c r="B11" i="139"/>
  <c r="C9" i="143"/>
  <c r="C6" i="143"/>
  <c r="E11" i="139"/>
  <c r="E13" i="139"/>
  <c r="F75" i="143"/>
  <c r="F74" i="143"/>
  <c r="E6" i="143" l="1"/>
  <c r="H17" i="143"/>
  <c r="H9" i="143" s="1"/>
  <c r="E12" i="143"/>
  <c r="F19" i="143"/>
  <c r="F6" i="143" s="1"/>
  <c r="E38" i="143"/>
  <c r="I17" i="143"/>
  <c r="I9" i="143" s="1"/>
  <c r="L25" i="143"/>
  <c r="L24" i="143" s="1"/>
  <c r="F66" i="142"/>
  <c r="E66" i="142"/>
  <c r="K58" i="142"/>
  <c r="J58" i="142"/>
  <c r="I58" i="142"/>
  <c r="H58" i="142"/>
  <c r="G58" i="142"/>
  <c r="F58" i="142"/>
  <c r="E58" i="142"/>
  <c r="K52" i="142"/>
  <c r="J52" i="142"/>
  <c r="I52" i="142"/>
  <c r="H52" i="142"/>
  <c r="G52" i="142"/>
  <c r="F52" i="142"/>
  <c r="E52" i="142"/>
  <c r="E48" i="142"/>
  <c r="K47" i="142"/>
  <c r="K6" i="142" s="1"/>
  <c r="J47" i="142"/>
  <c r="J6" i="142" s="1"/>
  <c r="I47" i="142"/>
  <c r="I6" i="142" s="1"/>
  <c r="H47" i="142"/>
  <c r="H6" i="142" s="1"/>
  <c r="G47" i="142"/>
  <c r="G6" i="142" s="1"/>
  <c r="F47" i="142"/>
  <c r="F6" i="142" s="1"/>
  <c r="E47" i="142"/>
  <c r="E1" i="142" s="1"/>
  <c r="F12" i="143" l="1"/>
  <c r="G19" i="143"/>
  <c r="G6" i="143" s="1"/>
  <c r="F38" i="143"/>
  <c r="F57" i="142"/>
  <c r="F61" i="142"/>
  <c r="G49" i="142"/>
  <c r="G53" i="142" s="1"/>
  <c r="G61" i="142"/>
  <c r="J49" i="142"/>
  <c r="J53" i="142" s="1"/>
  <c r="J61" i="142"/>
  <c r="K57" i="142"/>
  <c r="K61" i="142"/>
  <c r="H49" i="142"/>
  <c r="H53" i="142" s="1"/>
  <c r="H61" i="142"/>
  <c r="I49" i="142"/>
  <c r="I53" i="142" s="1"/>
  <c r="I61" i="142"/>
  <c r="J17" i="143"/>
  <c r="J9" i="143" s="1"/>
  <c r="K49" i="142"/>
  <c r="K53" i="142" s="1"/>
  <c r="E61" i="142"/>
  <c r="E10" i="142"/>
  <c r="F49" i="142"/>
  <c r="F53" i="142" s="1"/>
  <c r="E53" i="143"/>
  <c r="E56" i="143" s="1"/>
  <c r="E57" i="142"/>
  <c r="H57" i="142"/>
  <c r="I57" i="142"/>
  <c r="J57" i="142"/>
  <c r="E49" i="142"/>
  <c r="E53" i="142" s="1"/>
  <c r="G57" i="142"/>
  <c r="B7" i="139"/>
  <c r="H19" i="143" l="1"/>
  <c r="H6" i="143" s="1"/>
  <c r="G12" i="143"/>
  <c r="G38" i="143"/>
  <c r="K17" i="143"/>
  <c r="K9" i="143" s="1"/>
  <c r="E10" i="139"/>
  <c r="I19" i="143" l="1"/>
  <c r="I6" i="143" s="1"/>
  <c r="H12" i="143"/>
  <c r="H38" i="143"/>
  <c r="J19" i="143" l="1"/>
  <c r="J6" i="143" s="1"/>
  <c r="I12" i="143"/>
  <c r="I38" i="143"/>
  <c r="K19" i="143" l="1"/>
  <c r="K6" i="143" s="1"/>
  <c r="J12" i="143"/>
  <c r="J38" i="143"/>
  <c r="K12" i="143" l="1"/>
  <c r="K38" i="143"/>
  <c r="E17" i="145" l="1"/>
  <c r="E19" i="14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G7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H7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7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7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7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tc={578EAF4A-2948-479B-88BF-5A898DB80D0A}</author>
    <author>tc={97B1867E-6684-4D83-B825-65C70A72091D}</author>
  </authors>
  <commentList>
    <comment ref="E9" authorId="0" shapeId="0" xr:uid="{578EAF4A-2948-479B-88BF-5A898DB80D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Różnica między GUS a Eurostat, zostawiam, żeby zgadzało się z GUSem całkowite zużycie
</t>
      </text>
    </comment>
    <comment ref="E20" authorId="1" shapeId="0" xr:uid="{97B1867E-6684-4D83-B825-65C70A72091D}">
      <text>
        <t>[Threaded comment]
Your version of Excel allows you to read this threaded comment; however, any edits to it will get removed if the file is opened in a newer version of Excel. Learn more: https://go.microsoft.com/fwlink/?linkid=870924
Comment:
    Tyle u nas HT+HW w DH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Maciek</author>
  </authors>
  <commentList>
    <comment ref="D48" authorId="0" shapeId="0" xr:uid="{7433AF6F-50E4-4D4B-A950-34FFACB68788}">
      <text>
        <r>
          <rPr>
            <b/>
            <sz val="9"/>
            <color indexed="81"/>
            <rFont val="Tahoma"/>
            <family val="2"/>
            <charset val="238"/>
          </rPr>
          <t>Maciek:</t>
        </r>
        <r>
          <rPr>
            <sz val="9"/>
            <color indexed="81"/>
            <rFont val="Tahoma"/>
            <family val="2"/>
            <charset val="238"/>
          </rPr>
          <t xml:space="preserve">
Odejmowanie, żeby zgadzało się z prod brutto wg PSE ponizej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tc={75EE449B-1191-42E9-9288-D8EEF162166B}</author>
  </authors>
  <commentList>
    <comment ref="I73" authorId="0" shapeId="0" xr:uid="{75EE449B-1191-42E9-9288-D8EEF162166B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 danych dla 2020r. - pobrano dane z odpowiadającego dokumentu dla roku 2022.</t>
      </text>
    </comment>
  </commentList>
</comments>
</file>

<file path=xl/sharedStrings.xml><?xml version="1.0" encoding="utf-8"?>
<sst xmlns="http://schemas.openxmlformats.org/spreadsheetml/2006/main" count="813" uniqueCount="390">
  <si>
    <t>Sprawność</t>
  </si>
  <si>
    <t>Jednostka</t>
  </si>
  <si>
    <t>* Zdefiniuj dobra wykorzystywane w arkuszu</t>
  </si>
  <si>
    <t>*Surowce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</si>
  <si>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</si>
  <si>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</si>
  <si>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</si>
  <si>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</si>
  <si>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</si>
  <si>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</si>
  <si>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</si>
  <si>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</si>
  <si>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</si>
  <si>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</si>
  <si>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</si>
  <si>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</si>
  <si>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Znak w równaniu bilansu</t>
  </si>
  <si>
    <t>Poziom podokresów</t>
  </si>
  <si>
    <t>Monitorowanie szczytu</t>
  </si>
  <si>
    <t>Wskaźnik energii elektrycznej</t>
  </si>
  <si>
    <t>PJ</t>
  </si>
  <si>
    <t>DAYNITE</t>
  </si>
  <si>
    <t>DEM</t>
  </si>
  <si>
    <t>* Zdefiniuj procesy wykorzystywane w arkuszu</t>
  </si>
  <si>
    <t>*Procesy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</si>
  <si>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</si>
  <si>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</si>
  <si>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</si>
  <si>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</si>
  <si>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</si>
  <si>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</si>
  <si>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</si>
  <si>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</si>
  <si>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</si>
  <si>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</si>
  <si>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</si>
  <si>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</si>
  <si>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</si>
  <si>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</si>
  <si>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</si>
  <si>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</si>
  <si>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</si>
  <si>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</si>
  <si>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</si>
  <si>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DMD</t>
  </si>
  <si>
    <t>NO</t>
  </si>
  <si>
    <t>*Technologie odbiorcze</t>
  </si>
  <si>
    <t>*TechDesc</t>
  </si>
  <si>
    <t>Comm-IN</t>
  </si>
  <si>
    <t>Comm-OUT</t>
  </si>
  <si>
    <t>EFF</t>
  </si>
  <si>
    <t>CAP2ACT</t>
  </si>
  <si>
    <t>* Nazwa technologii</t>
  </si>
  <si>
    <t>Surowiec na wejściu</t>
  </si>
  <si>
    <t>Surowiec na wyjściu</t>
  </si>
  <si>
    <t>Przelicznik mocy na aktywność</t>
  </si>
  <si>
    <t>* declare and characterize electricity demands</t>
  </si>
  <si>
    <t>T6 Polityka 2.1</t>
  </si>
  <si>
    <t>ktoe</t>
  </si>
  <si>
    <t xml:space="preserve">Demand of the conversion sector </t>
  </si>
  <si>
    <t>line losses (net gen * efe)</t>
  </si>
  <si>
    <t>import/export saldo</t>
  </si>
  <si>
    <t>Net electricity generation</t>
  </si>
  <si>
    <t>own power plants consumption</t>
  </si>
  <si>
    <t>Gross electricity generation</t>
  </si>
  <si>
    <t>T8 brutto polityka</t>
  </si>
  <si>
    <t>TWh</t>
  </si>
  <si>
    <t>final / brutto polityka</t>
  </si>
  <si>
    <t>gross nasze - brutto polityka</t>
  </si>
  <si>
    <t>uwględnia import</t>
  </si>
  <si>
    <t>Raporty PSE MARCIN</t>
  </si>
  <si>
    <t>produkcja krajowa brutto</t>
  </si>
  <si>
    <t>zużycie brutto</t>
  </si>
  <si>
    <t>* declare and characterize heat demands</t>
  </si>
  <si>
    <t>total heat</t>
  </si>
  <si>
    <t>Final Heat demand residential &amp; tertiary</t>
  </si>
  <si>
    <t>Final Heat demand other</t>
  </si>
  <si>
    <t>Total Final Heat demand [PJ]</t>
  </si>
  <si>
    <t xml:space="preserve">Demand of the DH conversion sector </t>
  </si>
  <si>
    <t>line losses</t>
  </si>
  <si>
    <t>Net heat generation</t>
  </si>
  <si>
    <t>Gross DH heat generation</t>
  </si>
  <si>
    <t>Wg KOBIZE</t>
  </si>
  <si>
    <t>GJ</t>
  </si>
  <si>
    <t>Values</t>
  </si>
  <si>
    <t>Ciepłownia zawodowa</t>
  </si>
  <si>
    <t>Elektrociepłownia przemysłowa</t>
  </si>
  <si>
    <t>Elektrociepłownia zawodowa</t>
  </si>
  <si>
    <t>Elektrownia zawodowa</t>
  </si>
  <si>
    <t>Sum of wartosc_pr_netto_chp</t>
  </si>
  <si>
    <t>Sum of wartosc_pr_netto_nonchp</t>
  </si>
  <si>
    <t>Sum of wartosc_pr_netto_chp_odb_kom</t>
  </si>
  <si>
    <t>Sum of wartosc_pr_netto_nonchp_odb_kom</t>
  </si>
  <si>
    <t>Sum of wartosc_pr_netto_chp_przemysł</t>
  </si>
  <si>
    <t>Sum of wartosc_pr_netto_nonchp_przemysl</t>
  </si>
  <si>
    <t>Sum of wielkosc_pr_na_p_sieci_ciepłowniczej</t>
  </si>
  <si>
    <t>heat industry</t>
  </si>
  <si>
    <t>heat households from CHPI</t>
  </si>
  <si>
    <t>heat industry from HPL</t>
  </si>
  <si>
    <t>HT_IND</t>
  </si>
  <si>
    <t>PJa</t>
  </si>
  <si>
    <t>~FI_T:DEMAND</t>
  </si>
  <si>
    <t>Tabl. 4(94) Bilans całkowity (2020)</t>
  </si>
  <si>
    <t>Table 4(94) Complete balance (2020)</t>
  </si>
  <si>
    <t>WYSZCZEGÓLNIENIE</t>
  </si>
  <si>
    <t>Energia cieplna</t>
  </si>
  <si>
    <t>Energia elektryczna</t>
  </si>
  <si>
    <t>SPECIFICATION</t>
  </si>
  <si>
    <t>Heat</t>
  </si>
  <si>
    <t>Electricity</t>
  </si>
  <si>
    <t>Pozyskanie
Primary production</t>
  </si>
  <si>
    <t/>
  </si>
  <si>
    <t>Produkty z odzysku
Recovered &amp; recycled products</t>
  </si>
  <si>
    <t>Import
Imports</t>
  </si>
  <si>
    <t>Eksport
Exports</t>
  </si>
  <si>
    <t>Zmiana zapasów
Change in stock</t>
  </si>
  <si>
    <t>Energia dostępna brutto
Gross available energy</t>
  </si>
  <si>
    <t>Międzynarodowy bunkier morski
International maritime bunkers</t>
  </si>
  <si>
    <t>Krajowe zużycie brutto
Gross inland consumption</t>
  </si>
  <si>
    <t>Transport lotniczy międzynarodowy
International aviation</t>
  </si>
  <si>
    <t>Całkowita podaż energii
Total energy supply</t>
  </si>
  <si>
    <t xml:space="preserve">   Krajowe zużycie brutto (Europa 2020-2030)
   Gross inland consumption (Europe 2020-2030)</t>
  </si>
  <si>
    <t xml:space="preserve">   Zużycie energii pierwotnej (Europa 2020-2030)
   Primary energy consumption (Europe 2020-2030)</t>
  </si>
  <si>
    <t xml:space="preserve">   Zużycie końcowe energii (Europa 2020-2030)
   Final energy consumption (Europe 2020-2030)</t>
  </si>
  <si>
    <t>Wsad przemian
Transformation input</t>
  </si>
  <si>
    <t xml:space="preserve">   Wytwarzanie energii elektrycznej i ciepła
   Electricity &amp; heat generation</t>
  </si>
  <si>
    <t xml:space="preserve">      Elektrownie zawodowe
      Main activity producer electricity only</t>
  </si>
  <si>
    <t xml:space="preserve">      Instalacje elektrociepłowni zawodowych
      Main activity producer CHP</t>
  </si>
  <si>
    <t xml:space="preserve">      Ciepłownie zawodowe
      Main activity producer heat only</t>
  </si>
  <si>
    <t xml:space="preserve">      Elektrownie przemysłowe
      Autoproducer electricity only</t>
  </si>
  <si>
    <t xml:space="preserve">      Instalacje elektrociepłowni przemysłowych
      Autoproducer CHP </t>
  </si>
  <si>
    <t xml:space="preserve">      Ciepłownie przemysłowe
      Autoproducer heat only</t>
  </si>
  <si>
    <t xml:space="preserve">      Pompy ciepła
      Electrically driven heat pumps</t>
  </si>
  <si>
    <t xml:space="preserve">      Kotły elektryczne
      Electric boilers</t>
  </si>
  <si>
    <t xml:space="preserve">      Elektrownie szczytowo-pompowe
      Electricity for pumped storage</t>
  </si>
  <si>
    <t xml:space="preserve">      Ciepło wykorzystane do produkcji energii
      elektrycznej
      Derived heat for electricity production</t>
  </si>
  <si>
    <t xml:space="preserve">   Koksownie
   Coke ovens</t>
  </si>
  <si>
    <t xml:space="preserve">   Wielkie piece
   Blast furnaces</t>
  </si>
  <si>
    <t xml:space="preserve">   Gazownie
   Gas works</t>
  </si>
  <si>
    <t xml:space="preserve">   Rafinerie
   Refineries &amp; petrochemical industry</t>
  </si>
  <si>
    <t xml:space="preserve">      Wsad do rafinerii
      Refinery intake</t>
  </si>
  <si>
    <t xml:space="preserve">      Zwroty z sektora petrochemicznego
      Backflows from petrochemical industry</t>
  </si>
  <si>
    <t xml:space="preserve">      Produkty przetwarzane
      Products transferred</t>
  </si>
  <si>
    <t xml:space="preserve">      Produkty przeklasyfikowane
      Interproduct transfers</t>
  </si>
  <si>
    <t xml:space="preserve">      Zużycie bezpośrednie
      Direct use</t>
  </si>
  <si>
    <t xml:space="preserve">      Wsad do przemysłu petrochemicznego
      Petrochemical industry intake</t>
  </si>
  <si>
    <t xml:space="preserve">   Brykietownie węgla kamiennego
   Patent fuel plants</t>
  </si>
  <si>
    <t xml:space="preserve">   Brykietownie węgla brunatnego i torfu
   BKB &amp; PB plants</t>
  </si>
  <si>
    <t xml:space="preserve">   Upłynnianie węgla
   Coal liquefaction plants</t>
  </si>
  <si>
    <t xml:space="preserve">   Mieszalnie gazu ziemnego
   For blended natural gas</t>
  </si>
  <si>
    <t xml:space="preserve">   Do zmieszania z benzyną silnikową/olejem 
   napędowym/naftą lotniczą
   Liquid biofuels blended</t>
  </si>
  <si>
    <t xml:space="preserve">   Zakłady produkcji węgla drzewnego
   Charcoal production plants</t>
  </si>
  <si>
    <t xml:space="preserve">   Instalacje przetwarzania gazu na paliwa ciekłe
   Gas-to-liquids plants</t>
  </si>
  <si>
    <t xml:space="preserve">   Nigdzie indziej niewymienione
   Not elsewhere specified </t>
  </si>
  <si>
    <t>Uzysk przemian
Transformation output</t>
  </si>
  <si>
    <t xml:space="preserve">      Uzysk rafinerii
      Refinery output</t>
  </si>
  <si>
    <t xml:space="preserve">      Zwroty
      Backflows</t>
  </si>
  <si>
    <t xml:space="preserve">      Dostawy produktów pierwotnych
      Primary products receips</t>
  </si>
  <si>
    <t xml:space="preserve">      Zwroty z przemysłu petrochemicznego
      Petrochemical industry returns</t>
  </si>
  <si>
    <t>Sektor energetyczny
Energy sector</t>
  </si>
  <si>
    <t xml:space="preserve">   Elektrownie, elektrociepłownie oraz ciepłownie
   Own use in electricity &amp; heat generation</t>
  </si>
  <si>
    <t xml:space="preserve">   Kopalnie węgla
   Coal mines</t>
  </si>
  <si>
    <t xml:space="preserve">   Wydobycie ropy i gazu
   Oil &amp; natural gas extraction plants</t>
  </si>
  <si>
    <t xml:space="preserve">   Rafinerie ropy naftowej
   Petroleum refineries (oil refineries)</t>
  </si>
  <si>
    <t xml:space="preserve">   Przemysł jądrowy
   Nuclear industry</t>
  </si>
  <si>
    <t xml:space="preserve">   Skraplanie (LNG) lub zgazowanie
   Liquefaction &amp; regasification plants (LNG)</t>
  </si>
  <si>
    <t xml:space="preserve">   Zakłady zgazowania (biogaz)
   Gasification plants for biogas</t>
  </si>
  <si>
    <t xml:space="preserve">   Instalacje przetwarzania gazu na paliwa ciekłe
   Gas-to-liquids (GTL) plants</t>
  </si>
  <si>
    <t xml:space="preserve">   Nigdzie indziej niewymienione
   Not elsewhere specified (energy)</t>
  </si>
  <si>
    <t>Straty w dystrybucji
Distribution losses</t>
  </si>
  <si>
    <t>Zużycie finalne ogółem
Available for final consumption</t>
  </si>
  <si>
    <t>Zużycie nieenergetyczne
Final non-energy consumption</t>
  </si>
  <si>
    <t xml:space="preserve">   Zużycie nieenergetyczne w przemyśle/
   energetyce/przemianach
   Non-energy use industry/transformation/energy</t>
  </si>
  <si>
    <t xml:space="preserve">      W sektorze przemian
      Non-energy use in transformation sector</t>
  </si>
  <si>
    <t xml:space="preserve">      W sektorze energetycznym
      Non-energy use in energy sector</t>
  </si>
  <si>
    <t xml:space="preserve">      W sektorze przemysłu
      Non-energy use in industry sector</t>
  </si>
  <si>
    <t xml:space="preserve">   Zużycie nieenergetyczne w sektorze 
   transportowym
   Non-energy use in transport sector</t>
  </si>
  <si>
    <t xml:space="preserve">   Zużycie nieenergetyczne w pozostałych 
   sektorach
   Non-energy use in other sectors</t>
  </si>
  <si>
    <t>Zużycie końcowe energii
Final energy consumption</t>
  </si>
  <si>
    <t xml:space="preserve">   Sektor przemysłowy
   Industry sector</t>
  </si>
  <si>
    <t xml:space="preserve">      Przemysł hutniczy
      Iron &amp; steel</t>
  </si>
  <si>
    <t xml:space="preserve">      Przemysł chemiczny i petrochemiczny
      Chemical &amp; petrochemical</t>
  </si>
  <si>
    <t xml:space="preserve">      Przemysł metali nieżelaznych
      Non-ferrous metals</t>
  </si>
  <si>
    <t xml:space="preserve">      Przemysł surowców niemetalicznych
      Non-metallic minerals</t>
  </si>
  <si>
    <t xml:space="preserve">      Przemysł środków transportu
      Transport equipment</t>
  </si>
  <si>
    <t xml:space="preserve">      Przemysł maszynowy
      Machinery</t>
  </si>
  <si>
    <t xml:space="preserve">      Przemysł wydobywczy
      Mining &amp; quarrying</t>
  </si>
  <si>
    <t xml:space="preserve">      Przemysł spożywczy i tytoniowy
      Food, beverages &amp; tobacco</t>
  </si>
  <si>
    <t xml:space="preserve">      Przemysł papierniczy i poligraficzny
      Paper, pulp &amp; printing</t>
  </si>
  <si>
    <t xml:space="preserve">      Przemysł drzewny
      Wood &amp; wood products</t>
  </si>
  <si>
    <t xml:space="preserve">      Budownictwo
      Construction</t>
  </si>
  <si>
    <t xml:space="preserve">      Przemysł tekstylny i skórzany
      Textile &amp; leather</t>
  </si>
  <si>
    <t xml:space="preserve">      Nigdzie indziej niewymienione
      Not elsewhere specified (industry)</t>
  </si>
  <si>
    <t xml:space="preserve">   Sektor transportu
   Transport sector</t>
  </si>
  <si>
    <t xml:space="preserve">      Kolej
      Rail</t>
  </si>
  <si>
    <t xml:space="preserve">      Transport drogowy
      Road</t>
  </si>
  <si>
    <t xml:space="preserve">      Transport lotniczy krajowy
      Domestic aviation</t>
  </si>
  <si>
    <t xml:space="preserve">      Żegluga krajowa
      Domestic navigation</t>
  </si>
  <si>
    <t xml:space="preserve">      Transport rurociągowy
      Pipeline transport</t>
  </si>
  <si>
    <t xml:space="preserve">      Nigdzie indziej niewymienione – transport
      Not elsewhere specified (transport)</t>
  </si>
  <si>
    <t xml:space="preserve">   Inne sektory
   Other sectors</t>
  </si>
  <si>
    <t xml:space="preserve">      Sektor usług i użyteczności publicznej
      Commercial &amp; public services</t>
  </si>
  <si>
    <t xml:space="preserve">      Gospodarstwa domowe
      Households</t>
  </si>
  <si>
    <t xml:space="preserve">      Rolnictwo/leśnictwo
      Agriculture &amp; forestry</t>
  </si>
  <si>
    <t xml:space="preserve">      Rybołówstwo
      Fishing</t>
  </si>
  <si>
    <t xml:space="preserve">      Nigdzie indziej niewymienione – Inne
      Not elsewhere specified (other)</t>
  </si>
  <si>
    <t>Różnice statystyczne
Statistical differences</t>
  </si>
  <si>
    <t xml:space="preserve">   Industry sector</t>
  </si>
  <si>
    <t xml:space="preserve">   Transport sector</t>
  </si>
  <si>
    <t xml:space="preserve">      Commercial &amp; public services</t>
  </si>
  <si>
    <t>Final Electricity demand [TWh]:</t>
  </si>
  <si>
    <t xml:space="preserve">      Households</t>
  </si>
  <si>
    <t xml:space="preserve">      Agriculture &amp; forestry</t>
  </si>
  <si>
    <t>Other</t>
  </si>
  <si>
    <t>Residential</t>
  </si>
  <si>
    <t>Electrical Appliances</t>
  </si>
  <si>
    <t>Cooking</t>
  </si>
  <si>
    <t>Hot Water</t>
  </si>
  <si>
    <t>Space Heating</t>
  </si>
  <si>
    <t>Industry</t>
  </si>
  <si>
    <t>Cement</t>
  </si>
  <si>
    <t>Transport</t>
  </si>
  <si>
    <t>Bez linkowania do arkuszy sektorowych, żeby się nie rozjechało kiedy będziemy zmieniać. Docelowo powinno pobierać dane z arkuszy sektorowych - Maciek</t>
  </si>
  <si>
    <t>All modes</t>
  </si>
  <si>
    <t>ODEJMOWANIE ZUŻYCIA FINALNEGO Z ZAMODELOWANYCH SEKTORÓW [PJ]</t>
  </si>
  <si>
    <t>Processes of converting final energy into useful energy</t>
  </si>
  <si>
    <t>Table Name:</t>
  </si>
  <si>
    <t>Unsaved_172226</t>
  </si>
  <si>
    <t>Attribute</t>
  </si>
  <si>
    <t>Process</t>
  </si>
  <si>
    <t>Commodity</t>
  </si>
  <si>
    <t>GrandTotal</t>
  </si>
  <si>
    <t>VAR_FIn</t>
  </si>
  <si>
    <t>HT_TRANSF_IND</t>
  </si>
  <si>
    <t>HT_HT_I</t>
  </si>
  <si>
    <t>HT_TRANSF_RSD</t>
  </si>
  <si>
    <t>HT_HT</t>
  </si>
  <si>
    <t>VAR_FOut</t>
  </si>
  <si>
    <t>HT_RSD</t>
  </si>
  <si>
    <t>ELC_FIN_TECH</t>
  </si>
  <si>
    <t>Final electricicty consumption - other sectors</t>
  </si>
  <si>
    <t>Derrived heat consumption - industry</t>
  </si>
  <si>
    <t>ELC_FIN_CONS</t>
  </si>
  <si>
    <t>HT_IND_FIN_CONS</t>
  </si>
  <si>
    <t>Supply</t>
  </si>
  <si>
    <t>Own consumption</t>
  </si>
  <si>
    <t>Oil Refinery</t>
  </si>
  <si>
    <t>TOTAL</t>
  </si>
  <si>
    <t>Bez linkowania do arkuszy sektorowych, żeby się nie rozjechało kiedy będziemy zmieniać. Docelowo powinno pobierać dane z arkuszy sektorowych - Maciek
Przeciągnięcie zużycia na razie na kolejne lata</t>
  </si>
  <si>
    <t>Other industry</t>
  </si>
  <si>
    <t>IPI</t>
  </si>
  <si>
    <t>IND_TEX</t>
  </si>
  <si>
    <t>IND_PPP</t>
  </si>
  <si>
    <t>IND_CHM</t>
  </si>
  <si>
    <t>IND_GLASS</t>
  </si>
  <si>
    <t>IND_NMM</t>
  </si>
  <si>
    <t>IND_FER</t>
  </si>
  <si>
    <t>IND_NFM</t>
  </si>
  <si>
    <t>IND_MAN</t>
  </si>
  <si>
    <t>IND_OTH</t>
  </si>
  <si>
    <t>Commercial</t>
  </si>
  <si>
    <t>Whole sector</t>
  </si>
  <si>
    <t>Agriculture</t>
  </si>
  <si>
    <t>AGR_DEM</t>
  </si>
  <si>
    <t>COM_DEM</t>
  </si>
  <si>
    <t>HT_DH_IND</t>
  </si>
  <si>
    <t>HT_DH</t>
  </si>
  <si>
    <t>HT_DH_OTH_FIN_CONS</t>
  </si>
  <si>
    <t>HT_DH_FIN_TECH</t>
  </si>
  <si>
    <t>DMD_NEW_RSD_DTH</t>
  </si>
  <si>
    <t>DMD_NEW_RSD_SDTH</t>
  </si>
  <si>
    <t>DMD_NEW_RSD_FLAT</t>
  </si>
  <si>
    <t>000units</t>
  </si>
  <si>
    <t>Residential Dwelling - Detached houses</t>
  </si>
  <si>
    <t>Residential Dwelling - Semi-detached houses</t>
  </si>
  <si>
    <t>Residential Dwelling - Flats</t>
  </si>
  <si>
    <t>\I:</t>
  </si>
  <si>
    <t>TFM_HC_OUT</t>
  </si>
  <si>
    <t>TFM_OTH_FUE_OUT</t>
  </si>
  <si>
    <t>ELC_HV-HV</t>
  </si>
  <si>
    <t>ELC_MV-MV</t>
  </si>
  <si>
    <t>ELC_LV-LV</t>
  </si>
  <si>
    <t>Podział odpowiada zużyciu energii na poszczególnych poziomach napięć obecnie</t>
  </si>
  <si>
    <t>Share-I~FX</t>
  </si>
  <si>
    <t>Udział w wejściu do procesu</t>
  </si>
  <si>
    <t>IND_ELC_OWN_USE</t>
  </si>
  <si>
    <t>IND_HT_OWN_USE</t>
  </si>
  <si>
    <t>IND_HT_OWN_USE_DEM</t>
  </si>
  <si>
    <t>HPL_IND</t>
  </si>
  <si>
    <t>CHP_IND</t>
  </si>
  <si>
    <t>Production</t>
  </si>
  <si>
    <t>Sales</t>
  </si>
  <si>
    <t>% sales</t>
  </si>
  <si>
    <t>PL</t>
  </si>
  <si>
    <t>~FI_T:PL</t>
  </si>
  <si>
    <t>Derived heat consumption - other sectors</t>
  </si>
  <si>
    <r>
      <rPr>
        <b/>
        <sz val="12"/>
        <rFont val="Calibri"/>
        <family val="2"/>
        <charset val="238"/>
        <scheme val="minor"/>
      </rPr>
      <t xml:space="preserve">Mieszkania w budynku wielorodzinnym </t>
    </r>
    <r>
      <rPr>
        <sz val="12"/>
        <rFont val="Calibri"/>
        <family val="2"/>
        <charset val="238"/>
        <scheme val="minor"/>
      </rPr>
      <t xml:space="preserve">
</t>
    </r>
    <r>
      <rPr>
        <i/>
        <sz val="12"/>
        <rFont val="Arial"/>
        <family val="2"/>
        <charset val="238"/>
      </rPr>
      <t>Flats in multifamilty house</t>
    </r>
  </si>
  <si>
    <r>
      <rPr>
        <b/>
        <sz val="12"/>
        <rFont val="Calibri"/>
        <family val="2"/>
        <charset val="238"/>
        <scheme val="minor"/>
      </rPr>
      <t xml:space="preserve">Budynki jednorodzinne wolnostojące </t>
    </r>
    <r>
      <rPr>
        <sz val="12"/>
        <rFont val="Calibri"/>
        <family val="2"/>
        <charset val="238"/>
        <scheme val="minor"/>
      </rPr>
      <t xml:space="preserve">
</t>
    </r>
    <r>
      <rPr>
        <i/>
        <sz val="12"/>
        <rFont val="Arial"/>
        <family val="2"/>
        <charset val="238"/>
      </rPr>
      <t>Detached house</t>
    </r>
  </si>
  <si>
    <r>
      <rPr>
        <b/>
        <sz val="12"/>
        <rFont val="Calibri"/>
        <family val="2"/>
        <charset val="238"/>
        <scheme val="minor"/>
      </rPr>
      <t>Mieszkania w budynku jednorodzinnym w zabudowie szeregowej</t>
    </r>
    <r>
      <rPr>
        <sz val="12"/>
        <rFont val="Calibri"/>
        <family val="2"/>
        <charset val="238"/>
        <scheme val="minor"/>
      </rPr>
      <t xml:space="preserve">
</t>
    </r>
    <r>
      <rPr>
        <i/>
        <sz val="12"/>
        <rFont val="Arial"/>
        <family val="2"/>
        <charset val="238"/>
      </rPr>
      <t>Semi-detached house</t>
    </r>
  </si>
  <si>
    <t>thousands of animals</t>
  </si>
  <si>
    <t>AGR_DEM_LIV_CAT_DAIRY</t>
  </si>
  <si>
    <t>AGR_DEM_LIV_CAT_NON-DAIRY</t>
  </si>
  <si>
    <t>AGR_DEM_LIV_SHEEP</t>
  </si>
  <si>
    <t>AGR_DEM_LIV_SWINE</t>
  </si>
  <si>
    <t>AGR_DEM_LIV_GOAT</t>
  </si>
  <si>
    <t>AGR_DEM_LIV_POULTRY</t>
  </si>
  <si>
    <t>Typ dokumentu</t>
  </si>
  <si>
    <t>Plik z danymi roku bazowego</t>
  </si>
  <si>
    <t>Cel powstania</t>
  </si>
  <si>
    <t>Data powstania</t>
  </si>
  <si>
    <t>Ostatnia aktualizacja</t>
  </si>
  <si>
    <t>Autor(zy)</t>
  </si>
  <si>
    <t>Artur Wyrwa</t>
  </si>
  <si>
    <t>Maciej Raczyński</t>
  </si>
  <si>
    <t>Osoba kontaktowa</t>
  </si>
  <si>
    <t>awyrwa@agh.edu.pl</t>
  </si>
  <si>
    <t>Metadane</t>
  </si>
  <si>
    <t>Wersja modelu na potrzeby scenariuszy INTG_3</t>
  </si>
  <si>
    <t>Wprowadzenie topologii popytów i wartości popytów</t>
  </si>
  <si>
    <t>\I: AGR_DEM_LIV_HORSE</t>
  </si>
  <si>
    <t>\I: AGR_DEM_LIV_INDIRECT</t>
  </si>
  <si>
    <t>\I: AGR_DEM_LIV_RABBIT</t>
  </si>
  <si>
    <t>\I: AGR_DEM_LIV_FUR</t>
  </si>
  <si>
    <t>Ogółem 12 776 13 471 13 962 15 016</t>
  </si>
  <si>
    <t>aKPEiK</t>
  </si>
  <si>
    <t>Dane wejściowe</t>
  </si>
  <si>
    <t>Zwierzęta gospodarskie w 2020 r.</t>
  </si>
  <si>
    <t>GUS</t>
  </si>
  <si>
    <r>
      <t xml:space="preserve">TABL. 3. ZWIERZĘTA GOSPODARSKIE WEDŁUG REGIONÓW I WOJEWÓDZTW W GRUDNIU 2020 R. </t>
    </r>
    <r>
      <rPr>
        <b/>
        <vertAlign val="superscript"/>
        <sz val="8"/>
        <rFont val="Fira Sans"/>
        <family val="2"/>
        <charset val="238"/>
      </rPr>
      <t>a/</t>
    </r>
  </si>
  <si>
    <t>Regiony/Województwa</t>
  </si>
  <si>
    <t>Bydło</t>
  </si>
  <si>
    <r>
      <t>Świnie</t>
    </r>
    <r>
      <rPr>
        <vertAlign val="superscript"/>
        <sz val="8"/>
        <rFont val="Fira Sans"/>
        <family val="2"/>
        <charset val="238"/>
      </rPr>
      <t xml:space="preserve"> </t>
    </r>
  </si>
  <si>
    <t>Owce</t>
  </si>
  <si>
    <t>Drób kurzy</t>
  </si>
  <si>
    <r>
      <t>Kozy</t>
    </r>
    <r>
      <rPr>
        <vertAlign val="superscript"/>
        <sz val="8"/>
        <color rgb="FF000000"/>
        <rFont val="Fira Sans"/>
        <family val="2"/>
        <charset val="238"/>
      </rPr>
      <t xml:space="preserve">b </t>
    </r>
    <r>
      <rPr>
        <sz val="8"/>
        <color rgb="FF000000"/>
        <rFont val="Fira Sans"/>
        <family val="2"/>
        <charset val="238"/>
      </rPr>
      <t xml:space="preserve">    </t>
    </r>
    <r>
      <rPr>
        <sz val="8"/>
        <color rgb="FF808080"/>
        <rFont val="Fira Sans"/>
        <family val="2"/>
        <charset val="238"/>
      </rPr>
      <t>Goats</t>
    </r>
  </si>
  <si>
    <t>ogółem</t>
  </si>
  <si>
    <t>w tym krowy</t>
  </si>
  <si>
    <t>w tym lochy</t>
  </si>
  <si>
    <t>w sztukach</t>
  </si>
  <si>
    <t> </t>
  </si>
  <si>
    <t>Polska.................................................</t>
  </si>
  <si>
    <t>TABL. 12. DRÓB  WEDŁUG  STANU  W  CZERWCU  I  GRUDNIU  ORAZ  WEDŁUG  WOJEWÓDZTW  W  2020 R.</t>
  </si>
  <si>
    <t>Województwa</t>
  </si>
  <si>
    <t>Drób ogółem</t>
  </si>
  <si>
    <t>W tym drób kurzy</t>
  </si>
  <si>
    <t>stan w miesiącu</t>
  </si>
  <si>
    <t>czerwiec</t>
  </si>
  <si>
    <t>grudzień</t>
  </si>
  <si>
    <t>Polska..........................................................</t>
  </si>
  <si>
    <t>Dane wejściowe:</t>
  </si>
  <si>
    <t>Produkcja upraw rolnych i ogrodniczych w 2020 r.</t>
  </si>
  <si>
    <t>Wyszczególnienie</t>
  </si>
  <si>
    <t>Powierzchnia
w tys. ha</t>
  </si>
  <si>
    <t>Plony
z 1 ha
w dt</t>
  </si>
  <si>
    <t>Zbiory
w dt</t>
  </si>
  <si>
    <t>Powierzchnia</t>
  </si>
  <si>
    <t>Plony</t>
  </si>
  <si>
    <t>Zbiory</t>
  </si>
  <si>
    <t>2019 = 100</t>
  </si>
  <si>
    <t>TABL. 4. POWIERZCHNIA, PLONY I ZBIORY PSZENICY OGÓŁEM</t>
  </si>
  <si>
    <t>P o l s k a ....................</t>
  </si>
  <si>
    <t>TABL. 7. POWIERZCHNIA, PLONY I ZBIORY ŻYTA</t>
  </si>
  <si>
    <t>P o l s k a .....................</t>
  </si>
  <si>
    <t>TABL. 8. POWIERZCHNIA, PLONY I ZBIORY JĘCZMIENIA OGÓŁEM</t>
  </si>
  <si>
    <t>TABL. 11. POWIERZCHNIA, PLONY I ZBIORY OWSA</t>
  </si>
  <si>
    <t>TABL. 12. POWIERZCHNIA, PLONY I ZBIORY PSZENŻYTA OGÓŁEM</t>
  </si>
  <si>
    <t>TABL. 15. POWIERZCHNIA, PLONY I ZBIORY MIESZANEK ZBOŻOWYCH OGÓŁEM</t>
  </si>
  <si>
    <t>TABL. 18. POWIERZCHNIA, PLONY I ZBIORY KUKURYDZY NA ZIARNO</t>
  </si>
  <si>
    <t>TABL. 19. POWIERZCHNIA, PLONY I ZBIORY GRYKI</t>
  </si>
  <si>
    <t>TABL. 20. POWIERZCHNIA, PLONY I ZBIORY PROSA</t>
  </si>
  <si>
    <r>
      <t xml:space="preserve">TABL. 22. POWIERZCHNIA, PLONY I ZBIORY ZIEMNIAKÓW </t>
    </r>
    <r>
      <rPr>
        <b/>
        <vertAlign val="superscript"/>
        <sz val="10"/>
        <rFont val="Arial"/>
        <family val="2"/>
        <charset val="238"/>
      </rPr>
      <t>a)</t>
    </r>
  </si>
  <si>
    <t>TABL. 24. POWIERZCHNIA, PLONY I ZBIORY ROŚLIN OLEISTYCH</t>
  </si>
  <si>
    <t>TABL. 29. POWIERZCHNIA, PLONY I ZBIORY STRĄCZKOWYCH JADALNYCH (konsumpcyjnych)</t>
  </si>
  <si>
    <t>TABL. 40. POWIERZCHNIA, PLONY I ZBIORY STRĄCZKOWYCH PASTEWNYCH NA ZIELONKĘ</t>
  </si>
  <si>
    <t>P o l s k a ..................</t>
  </si>
  <si>
    <t>AGR_DEM_CROP_WHEAT</t>
  </si>
  <si>
    <t>AGR_DEM_CROP_BARLEY</t>
  </si>
  <si>
    <t>AGR_DEM_CROP_MAIZE</t>
  </si>
  <si>
    <t>AGR_DEM_CROP_CER-MIX</t>
  </si>
  <si>
    <t>AGR_DEM_CROP_TRITICALE</t>
  </si>
  <si>
    <t>AGR_DEM_CROP_OATS</t>
  </si>
  <si>
    <t>AGR_DEM_CROP_RYE</t>
  </si>
  <si>
    <t>AGR_DEM_CROP_MILL-BUCK</t>
  </si>
  <si>
    <t>AGR_DEM_CROP_PULS-FEED</t>
  </si>
  <si>
    <t>AGR_DEM_CROP_PULS-EDIB</t>
  </si>
  <si>
    <t>AGR_DEM_CROP_POTATO</t>
  </si>
  <si>
    <t>AGR_DEM_CROP_OIL</t>
  </si>
  <si>
    <t>AGR_DEM_CROP_FRUIT</t>
  </si>
  <si>
    <t>AGR_DEM_CROP_VEG</t>
  </si>
  <si>
    <t>area in thousands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</si>
</sst>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\Te\x\t"/>
    <numFmt numFmtId="165" formatCode="0.000"/>
    <numFmt numFmtId="166" formatCode="_-* #,##0.00\ _z_ł_-;\-* #,##0.00\ _z_ł_-;_-* &quot;-&quot;??\ _z_ł_-;_-@_-"/>
    <numFmt numFmtId="167" formatCode="0.000%"/>
    <numFmt numFmtId="168" formatCode="0.0%"/>
    <numFmt numFmtId="172" formatCode="_-* #,##0.00\ &quot;zł&quot;_-;\-* #,##0.00\ &quot;zł&quot;_-;_-* &quot;-&quot;??\ &quot;zł&quot;_-;_-@_-"/>
    <numFmt numFmtId="174" formatCode="_-* #,##0.00\ _€_-;\-* #,##0.00\ _€_-;_-* &quot;-&quot;??\ _€_-;_-@_-"/>
  </numFmts>
  <fonts count="54">
    <font>
      <sz val="10"/>
      <name val="Arial"/>
    </font>
    <font>
      <sz val="11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indexed="81"/>
      <name val="Tahoma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name val="Arial"/>
      <family val="2"/>
      <charset val="238"/>
    </font>
    <font>
      <i/>
      <sz val="12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1000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Fira Sans"/>
      <family val="2"/>
      <charset val="238"/>
    </font>
    <font>
      <b/>
      <vertAlign val="superscript"/>
      <sz val="8"/>
      <name val="Fira Sans"/>
      <family val="2"/>
      <charset val="238"/>
    </font>
    <font>
      <sz val="8"/>
      <name val="Fira Sans"/>
      <family val="2"/>
      <charset val="238"/>
    </font>
    <font>
      <vertAlign val="superscript"/>
      <sz val="8"/>
      <name val="Fira Sans"/>
      <family val="2"/>
      <charset val="238"/>
    </font>
    <font>
      <sz val="8"/>
      <color rgb="FF000000"/>
      <name val="Fira Sans"/>
      <family val="2"/>
      <charset val="238"/>
    </font>
    <font>
      <vertAlign val="superscript"/>
      <sz val="8"/>
      <color rgb="FF000000"/>
      <name val="Fira Sans"/>
      <family val="2"/>
      <charset val="238"/>
    </font>
    <font>
      <sz val="8"/>
      <color rgb="FF808080"/>
      <name val="Fira Sans"/>
      <family val="2"/>
      <charset val="238"/>
    </font>
    <font>
      <b/>
      <sz val="8"/>
      <color rgb="FF000000"/>
      <name val="Fira Sans"/>
      <family val="2"/>
      <charset val="238"/>
    </font>
    <font>
      <sz val="11"/>
      <color rgb="FF000000"/>
      <name val="Calibri"/>
      <family val="2"/>
      <charset val="238"/>
    </font>
    <font>
      <b/>
      <vertAlign val="superscript"/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theme="1"/>
      <name val="Calibri"/>
      <family val="2"/>
      <charset val="1"/>
      <scheme val="minor"/>
    </font>
    <font>
      <sz val="11"/>
      <color theme="1"/>
      <name val="Czcionka tekstu podstawowego"/>
      <family val="2"/>
      <charset val="238"/>
    </font>
    <font>
      <u/>
      <sz val="10"/>
      <color theme="10"/>
      <name val="Arial CE"/>
      <charset val="238"/>
    </font>
    <font>
      <sz val="10"/>
      <name val="Arial CE"/>
      <charset val="238"/>
    </font>
  </fonts>
  <fills count="2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4" fillId="0" borderId="0"/>
    <xf numFmtId="0" fontId="4" fillId="0" borderId="0"/>
    <xf numFmtId="0" fontId="4" fillId="0" borderId="0"/>
    <xf numFmtId="0" fontId="14" fillId="0" borderId="0"/>
    <xf numFmtId="44" fontId="17" fillId="0" borderId="0" applyFont="0" applyFill="0" applyBorder="0" applyAlignment="0" applyProtection="0"/>
    <xf numFmtId="0" fontId="14" fillId="0" borderId="0"/>
    <xf numFmtId="0" fontId="14" fillId="0" borderId="0"/>
    <xf numFmtId="0" fontId="4" fillId="0" borderId="0"/>
    <xf numFmtId="0" fontId="16" fillId="0" borderId="0"/>
    <xf numFmtId="0" fontId="14" fillId="0" borderId="0"/>
    <xf numFmtId="9" fontId="2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4" fillId="0" borderId="0"/>
    <xf numFmtId="0" fontId="14" fillId="0" borderId="0"/>
    <xf numFmtId="0" fontId="2" fillId="0" borderId="0"/>
    <xf numFmtId="0" fontId="26" fillId="0" borderId="0"/>
    <xf numFmtId="0" fontId="4" fillId="0" borderId="0"/>
    <xf numFmtId="0" fontId="14" fillId="0" borderId="0"/>
    <xf numFmtId="0" fontId="14" fillId="0" borderId="0"/>
    <xf numFmtId="172" fontId="14" fillId="0" borderId="0" applyFont="0" applyFill="0" applyBorder="0" applyAlignment="0" applyProtection="0"/>
    <xf numFmtId="0" fontId="4" fillId="0" borderId="0"/>
    <xf numFmtId="0" fontId="14" fillId="0" borderId="0"/>
    <xf numFmtId="0" fontId="26" fillId="0" borderId="0"/>
    <xf numFmtId="174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72" fontId="1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51" fillId="0" borderId="0"/>
    <xf numFmtId="0" fontId="1" fillId="0" borderId="0"/>
    <xf numFmtId="0" fontId="52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53" fillId="0" borderId="0"/>
    <xf numFmtId="0" fontId="53" fillId="0" borderId="0"/>
    <xf numFmtId="0" fontId="14" fillId="0" borderId="0"/>
  </cellStyleXfs>
  <cellXfs count="285">
    <xf numFmtId="0" fontId="0" fillId="0" borderId="0" xfId="0"/>
    <xf numFmtId="0" fontId="34" fillId="9" borderId="0" xfId="7" applyFont="1" applyFill="1"/>
    <xf numFmtId="164" fontId="34" fillId="9" borderId="0" xfId="7" applyNumberFormat="1" applyFont="1" applyFill="1" applyAlignment="1">
      <alignment vertical="center"/>
    </xf>
    <xf numFmtId="0" fontId="33" fillId="11" borderId="48" xfId="7" applyFont="1" applyFill="1" applyBorder="1" applyAlignment="1">
      <alignment horizontal="center" vertical="center" wrapText="1"/>
    </xf>
    <xf numFmtId="0" fontId="35" fillId="12" borderId="49" xfId="8" applyFont="1" applyFill="1" applyBorder="1" applyAlignment="1">
      <alignment horizontal="center" vertical="center" wrapText="1"/>
    </xf>
    <xf numFmtId="2" fontId="32" fillId="9" borderId="0" xfId="7" applyNumberFormat="1" applyFont="1" applyFill="1"/>
    <xf numFmtId="0" fontId="32" fillId="9" borderId="0" xfId="7" applyFont="1" applyFill="1"/>
    <xf numFmtId="0" fontId="34" fillId="9" borderId="0" xfId="3" applyFont="1" applyFill="1"/>
    <xf numFmtId="0" fontId="34" fillId="9" borderId="0" xfId="3" applyFont="1" applyFill="1" applyAlignment="1">
      <alignment horizontal="left"/>
    </xf>
    <xf numFmtId="0" fontId="34" fillId="9" borderId="0" xfId="0" applyFont="1" applyFill="1"/>
    <xf numFmtId="165" fontId="32" fillId="3" borderId="0" xfId="0" applyNumberFormat="1" applyFont="1" applyFill="1"/>
    <xf numFmtId="0" fontId="32" fillId="14" borderId="0" xfId="0" applyFont="1" applyFill="1"/>
    <xf numFmtId="0" fontId="32" fillId="3" borderId="0" xfId="0" applyFont="1" applyFill="1"/>
    <xf numFmtId="0" fontId="33" fillId="11" borderId="48" xfId="1" applyFont="1" applyFill="1" applyBorder="1" applyAlignment="1">
      <alignment horizontal="center" vertical="center" wrapText="1"/>
    </xf>
    <xf numFmtId="0" fontId="33" fillId="11" borderId="48" xfId="3" applyFont="1" applyFill="1" applyBorder="1" applyAlignment="1">
      <alignment horizontal="center" vertical="center" wrapText="1"/>
    </xf>
    <xf numFmtId="165" fontId="32" fillId="10" borderId="0" xfId="0" applyNumberFormat="1" applyFont="1" applyFill="1"/>
    <xf numFmtId="0" fontId="32" fillId="10" borderId="0" xfId="0" applyFont="1" applyFill="1" applyAlignment="1">
      <alignment wrapText="1"/>
    </xf>
    <xf numFmtId="0" fontId="32" fillId="3" borderId="30" xfId="0" applyFont="1" applyFill="1" applyBorder="1"/>
    <xf numFmtId="164" fontId="32" fillId="10" borderId="5" xfId="0" applyNumberFormat="1" applyFont="1" applyFill="1" applyBorder="1"/>
    <xf numFmtId="164" fontId="34" fillId="9" borderId="0" xfId="0" applyNumberFormat="1" applyFont="1" applyFill="1"/>
    <xf numFmtId="164" fontId="32" fillId="12" borderId="49" xfId="1" applyNumberFormat="1" applyFont="1" applyFill="1" applyBorder="1" applyAlignment="1">
      <alignment horizontal="center" vertical="center" wrapText="1"/>
    </xf>
    <xf numFmtId="0" fontId="32" fillId="12" borderId="49" xfId="1" applyFont="1" applyFill="1" applyBorder="1" applyAlignment="1">
      <alignment horizontal="center" vertical="center" wrapText="1"/>
    </xf>
    <xf numFmtId="164" fontId="32" fillId="9" borderId="0" xfId="0" applyNumberFormat="1" applyFont="1" applyFill="1"/>
    <xf numFmtId="164" fontId="33" fillId="11" borderId="48" xfId="0" applyNumberFormat="1" applyFont="1" applyFill="1" applyBorder="1" applyAlignment="1">
      <alignment horizontal="center" vertical="center" wrapText="1"/>
    </xf>
    <xf numFmtId="164" fontId="32" fillId="10" borderId="0" xfId="10" applyNumberFormat="1" applyFont="1" applyFill="1"/>
    <xf numFmtId="0" fontId="32" fillId="9" borderId="0" xfId="0" applyFont="1" applyFill="1"/>
    <xf numFmtId="164" fontId="32" fillId="9" borderId="0" xfId="10" applyNumberFormat="1" applyFont="1" applyFill="1"/>
    <xf numFmtId="0" fontId="32" fillId="10" borderId="0" xfId="0" applyFont="1" applyFill="1"/>
    <xf numFmtId="164" fontId="32" fillId="17" borderId="0" xfId="0" applyNumberFormat="1" applyFont="1" applyFill="1"/>
    <xf numFmtId="164" fontId="32" fillId="10" borderId="0" xfId="0" applyNumberFormat="1" applyFont="1" applyFill="1"/>
    <xf numFmtId="0" fontId="26" fillId="3" borderId="0" xfId="18" applyFill="1" applyAlignment="1">
      <alignment horizontal="left" vertical="top" wrapText="1"/>
    </xf>
    <xf numFmtId="0" fontId="26" fillId="3" borderId="30" xfId="18" applyFill="1" applyBorder="1" applyAlignment="1">
      <alignment horizontal="left" vertical="top"/>
    </xf>
    <xf numFmtId="0" fontId="30" fillId="3" borderId="47" xfId="18" applyFont="1" applyFill="1" applyBorder="1" applyAlignment="1">
      <alignment horizontal="left" vertical="top"/>
    </xf>
    <xf numFmtId="0" fontId="30" fillId="3" borderId="47" xfId="18" applyFont="1" applyFill="1" applyBorder="1" applyAlignment="1">
      <alignment vertical="top"/>
    </xf>
    <xf numFmtId="0" fontId="26" fillId="3" borderId="47" xfId="18" applyFill="1" applyBorder="1" applyAlignment="1">
      <alignment horizontal="center" vertical="top"/>
    </xf>
    <xf numFmtId="0" fontId="26" fillId="3" borderId="47" xfId="18" applyFill="1" applyBorder="1" applyAlignment="1">
      <alignment horizontal="left" vertical="top"/>
    </xf>
    <xf numFmtId="0" fontId="26" fillId="3" borderId="47" xfId="18" applyFill="1" applyBorder="1" applyAlignment="1">
      <alignment vertical="top"/>
    </xf>
    <xf numFmtId="0" fontId="26" fillId="3" borderId="47" xfId="18" applyFill="1" applyBorder="1" applyAlignment="1">
      <alignment vertical="top" wrapText="1"/>
    </xf>
    <xf numFmtId="14" fontId="26" fillId="3" borderId="47" xfId="18" applyNumberFormat="1" applyFill="1" applyBorder="1" applyAlignment="1">
      <alignment horizontal="left" vertical="top"/>
    </xf>
    <xf numFmtId="0" fontId="30" fillId="3" borderId="47" xfId="18" applyFont="1" applyFill="1" applyBorder="1" applyAlignment="1">
      <alignment horizontal="center" vertical="center"/>
    </xf>
    <xf numFmtId="0" fontId="30" fillId="3" borderId="47" xfId="18" applyFont="1" applyFill="1" applyBorder="1" applyAlignment="1">
      <alignment horizontal="left" vertical="center"/>
    </xf>
    <xf numFmtId="0" fontId="30" fillId="3" borderId="0" xfId="18" applyFont="1" applyFill="1"/>
    <xf numFmtId="0" fontId="14" fillId="3" borderId="0" xfId="15" applyFill="1"/>
    <xf numFmtId="0" fontId="26" fillId="12" borderId="46" xfId="18" applyFill="1" applyBorder="1"/>
    <xf numFmtId="0" fontId="26" fillId="12" borderId="30" xfId="18" applyFill="1" applyBorder="1"/>
    <xf numFmtId="0" fontId="26" fillId="12" borderId="45" xfId="18" applyFill="1" applyBorder="1"/>
    <xf numFmtId="0" fontId="26" fillId="3" borderId="46" xfId="18" applyFill="1" applyBorder="1"/>
    <xf numFmtId="0" fontId="26" fillId="3" borderId="30" xfId="18" applyFill="1" applyBorder="1"/>
    <xf numFmtId="0" fontId="26" fillId="3" borderId="45" xfId="18" applyFill="1" applyBorder="1"/>
    <xf numFmtId="0" fontId="31" fillId="3" borderId="0" xfId="16" applyFont="1" applyFill="1"/>
    <xf numFmtId="14" fontId="26" fillId="3" borderId="0" xfId="18" applyNumberFormat="1" applyFill="1"/>
    <xf numFmtId="0" fontId="26" fillId="3" borderId="0" xfId="18" applyFill="1" applyAlignment="1">
      <alignment vertical="top" wrapText="1"/>
    </xf>
    <xf numFmtId="0" fontId="30" fillId="3" borderId="0" xfId="18" applyFont="1" applyFill="1" applyAlignment="1">
      <alignment horizontal="left"/>
    </xf>
    <xf numFmtId="0" fontId="2" fillId="0" borderId="0" xfId="17"/>
    <xf numFmtId="0" fontId="26" fillId="3" borderId="44" xfId="18" applyFill="1" applyBorder="1"/>
    <xf numFmtId="0" fontId="26" fillId="3" borderId="43" xfId="18" applyFill="1" applyBorder="1"/>
    <xf numFmtId="0" fontId="26" fillId="12" borderId="44" xfId="18" applyFill="1" applyBorder="1"/>
    <xf numFmtId="0" fontId="26" fillId="3" borderId="42" xfId="18" applyFill="1" applyBorder="1"/>
    <xf numFmtId="0" fontId="26" fillId="3" borderId="41" xfId="18" applyFill="1" applyBorder="1"/>
    <xf numFmtId="0" fontId="26" fillId="3" borderId="40" xfId="18" applyFill="1" applyBorder="1"/>
    <xf numFmtId="0" fontId="26" fillId="12" borderId="43" xfId="18" applyFill="1" applyBorder="1"/>
    <xf numFmtId="0" fontId="26" fillId="12" borderId="42" xfId="18" applyFill="1" applyBorder="1"/>
    <xf numFmtId="0" fontId="26" fillId="12" borderId="41" xfId="18" applyFill="1" applyBorder="1"/>
    <xf numFmtId="0" fontId="26" fillId="12" borderId="40" xfId="18" applyFill="1" applyBorder="1"/>
    <xf numFmtId="0" fontId="26" fillId="3" borderId="0" xfId="18" applyFill="1"/>
    <xf numFmtId="0" fontId="26" fillId="11" borderId="0" xfId="18" applyFill="1"/>
    <xf numFmtId="0" fontId="14" fillId="0" borderId="0" xfId="7" applyAlignment="1">
      <alignment horizontal="center" wrapText="1"/>
    </xf>
    <xf numFmtId="0" fontId="14" fillId="0" borderId="0" xfId="7"/>
    <xf numFmtId="0" fontId="1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9" fillId="0" borderId="0" xfId="0" applyFont="1"/>
    <xf numFmtId="0" fontId="11" fillId="0" borderId="0" xfId="2" applyFont="1"/>
    <xf numFmtId="164" fontId="3" fillId="2" borderId="0" xfId="0" applyNumberFormat="1" applyFont="1" applyFill="1"/>
    <xf numFmtId="164" fontId="7" fillId="2" borderId="0" xfId="0" applyNumberFormat="1" applyFont="1" applyFill="1"/>
    <xf numFmtId="164" fontId="4" fillId="0" borderId="0" xfId="0" applyNumberFormat="1" applyFont="1"/>
    <xf numFmtId="164" fontId="6" fillId="0" borderId="0" xfId="0" applyNumberFormat="1" applyFont="1"/>
    <xf numFmtId="164" fontId="0" fillId="0" borderId="0" xfId="0" applyNumberFormat="1"/>
    <xf numFmtId="0" fontId="14" fillId="0" borderId="0" xfId="0" applyFont="1" applyAlignment="1" applyProtection="1">
      <alignment vertical="top"/>
      <protection locked="0"/>
    </xf>
    <xf numFmtId="0" fontId="11" fillId="0" borderId="0" xfId="5" applyNumberFormat="1" applyFont="1"/>
    <xf numFmtId="0" fontId="14" fillId="0" borderId="0" xfId="6"/>
    <xf numFmtId="164" fontId="3" fillId="2" borderId="0" xfId="0" quotePrefix="1" applyNumberFormat="1" applyFont="1" applyFill="1"/>
    <xf numFmtId="164" fontId="6" fillId="0" borderId="0" xfId="6" applyNumberFormat="1" applyFont="1" applyAlignment="1">
      <alignment vertical="center"/>
    </xf>
    <xf numFmtId="0" fontId="14" fillId="3" borderId="0" xfId="6" applyFill="1"/>
    <xf numFmtId="164" fontId="6" fillId="0" borderId="0" xfId="7" applyNumberFormat="1" applyFont="1" applyAlignment="1">
      <alignment vertical="center"/>
    </xf>
    <xf numFmtId="2" fontId="14" fillId="0" borderId="0" xfId="7" applyNumberFormat="1"/>
    <xf numFmtId="1" fontId="14" fillId="0" borderId="0" xfId="7" applyNumberFormat="1"/>
    <xf numFmtId="0" fontId="0" fillId="0" borderId="0" xfId="0" applyAlignment="1">
      <alignment wrapText="1"/>
    </xf>
    <xf numFmtId="0" fontId="16" fillId="0" borderId="0" xfId="9" applyAlignment="1">
      <alignment wrapText="1"/>
    </xf>
    <xf numFmtId="0" fontId="16" fillId="0" borderId="0" xfId="9" applyAlignment="1">
      <alignment horizontal="left"/>
    </xf>
    <xf numFmtId="43" fontId="16" fillId="0" borderId="0" xfId="9" applyNumberFormat="1"/>
    <xf numFmtId="43" fontId="16" fillId="0" borderId="0" xfId="9" applyNumberFormat="1" applyAlignment="1">
      <alignment wrapText="1"/>
    </xf>
    <xf numFmtId="43" fontId="16" fillId="4" borderId="0" xfId="9" applyNumberFormat="1" applyFill="1"/>
    <xf numFmtId="43" fontId="16" fillId="5" borderId="0" xfId="9" applyNumberFormat="1" applyFill="1"/>
    <xf numFmtId="43" fontId="16" fillId="6" borderId="0" xfId="9" applyNumberFormat="1" applyFill="1"/>
    <xf numFmtId="43" fontId="16" fillId="7" borderId="0" xfId="9" applyNumberFormat="1" applyFill="1"/>
    <xf numFmtId="0" fontId="0" fillId="7" borderId="0" xfId="0" applyFill="1"/>
    <xf numFmtId="166" fontId="0" fillId="7" borderId="0" xfId="0" applyNumberFormat="1" applyFill="1"/>
    <xf numFmtId="0" fontId="0" fillId="5" borderId="0" xfId="0" applyFill="1"/>
    <xf numFmtId="166" fontId="0" fillId="5" borderId="0" xfId="0" applyNumberFormat="1" applyFill="1"/>
    <xf numFmtId="0" fontId="0" fillId="6" borderId="0" xfId="0" applyFill="1"/>
    <xf numFmtId="166" fontId="0" fillId="6" borderId="0" xfId="0" applyNumberFormat="1" applyFill="1"/>
    <xf numFmtId="0" fontId="14" fillId="8" borderId="0" xfId="6" applyFill="1"/>
    <xf numFmtId="0" fontId="14" fillId="9" borderId="0" xfId="0" applyFont="1" applyFill="1"/>
    <xf numFmtId="0" fontId="14" fillId="9" borderId="5" xfId="0" applyFont="1" applyFill="1" applyBorder="1"/>
    <xf numFmtId="0" fontId="14" fillId="10" borderId="5" xfId="0" applyFont="1" applyFill="1" applyBorder="1"/>
    <xf numFmtId="0" fontId="19" fillId="11" borderId="6" xfId="7" applyFont="1" applyFill="1" applyBorder="1" applyAlignment="1">
      <alignment horizontal="center" vertical="center"/>
    </xf>
    <xf numFmtId="0" fontId="14" fillId="9" borderId="0" xfId="7" applyFill="1"/>
    <xf numFmtId="0" fontId="20" fillId="12" borderId="7" xfId="8" applyFont="1" applyFill="1" applyBorder="1" applyAlignment="1">
      <alignment horizontal="center" vertical="center" wrapText="1"/>
    </xf>
    <xf numFmtId="0" fontId="20" fillId="12" borderId="6" xfId="8" applyFont="1" applyFill="1" applyBorder="1" applyAlignment="1">
      <alignment horizontal="center" vertical="center" wrapText="1"/>
    </xf>
    <xf numFmtId="0" fontId="14" fillId="0" borderId="3" xfId="7" applyBorder="1"/>
    <xf numFmtId="0" fontId="14" fillId="0" borderId="18" xfId="7" applyBorder="1"/>
    <xf numFmtId="0" fontId="14" fillId="0" borderId="17" xfId="7" applyBorder="1"/>
    <xf numFmtId="0" fontId="14" fillId="0" borderId="16" xfId="7" applyBorder="1"/>
    <xf numFmtId="0" fontId="14" fillId="0" borderId="4" xfId="7" applyBorder="1"/>
    <xf numFmtId="0" fontId="14" fillId="0" borderId="14" xfId="7" applyBorder="1"/>
    <xf numFmtId="0" fontId="14" fillId="3" borderId="19" xfId="6" applyFill="1" applyBorder="1"/>
    <xf numFmtId="0" fontId="14" fillId="3" borderId="3" xfId="6" applyFill="1" applyBorder="1"/>
    <xf numFmtId="0" fontId="14" fillId="0" borderId="3" xfId="6" applyBorder="1"/>
    <xf numFmtId="0" fontId="14" fillId="0" borderId="18" xfId="6" applyBorder="1" applyAlignment="1">
      <alignment horizontal="right"/>
    </xf>
    <xf numFmtId="0" fontId="14" fillId="3" borderId="17" xfId="6" applyFill="1" applyBorder="1"/>
    <xf numFmtId="0" fontId="14" fillId="0" borderId="16" xfId="6" applyBorder="1" applyAlignment="1">
      <alignment horizontal="right"/>
    </xf>
    <xf numFmtId="0" fontId="14" fillId="3" borderId="15" xfId="6" applyFill="1" applyBorder="1"/>
    <xf numFmtId="0" fontId="14" fillId="3" borderId="4" xfId="6" applyFill="1" applyBorder="1"/>
    <xf numFmtId="0" fontId="14" fillId="0" borderId="4" xfId="6" applyBorder="1"/>
    <xf numFmtId="0" fontId="14" fillId="0" borderId="14" xfId="6" applyBorder="1"/>
    <xf numFmtId="0" fontId="0" fillId="14" borderId="0" xfId="0" applyFill="1"/>
    <xf numFmtId="0" fontId="21" fillId="0" borderId="0" xfId="0" applyFont="1"/>
    <xf numFmtId="0" fontId="22" fillId="0" borderId="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wrapText="1"/>
    </xf>
    <xf numFmtId="0" fontId="22" fillId="0" borderId="8" xfId="0" applyFont="1" applyBorder="1" applyAlignment="1">
      <alignment horizontal="center" vertical="top" wrapText="1"/>
    </xf>
    <xf numFmtId="0" fontId="22" fillId="0" borderId="0" xfId="0" applyFont="1" applyAlignment="1">
      <alignment wrapText="1"/>
    </xf>
    <xf numFmtId="0" fontId="22" fillId="0" borderId="13" xfId="0" applyFont="1" applyBorder="1" applyAlignment="1">
      <alignment horizontal="right"/>
    </xf>
    <xf numFmtId="0" fontId="22" fillId="14" borderId="0" xfId="0" applyFont="1" applyFill="1" applyAlignment="1">
      <alignment wrapText="1"/>
    </xf>
    <xf numFmtId="0" fontId="22" fillId="14" borderId="13" xfId="0" applyFont="1" applyFill="1" applyBorder="1" applyAlignment="1">
      <alignment horizontal="right"/>
    </xf>
    <xf numFmtId="0" fontId="22" fillId="13" borderId="13" xfId="0" applyFont="1" applyFill="1" applyBorder="1" applyAlignment="1">
      <alignment horizontal="right"/>
    </xf>
    <xf numFmtId="0" fontId="14" fillId="0" borderId="0" xfId="7" applyAlignment="1">
      <alignment vertical="center"/>
    </xf>
    <xf numFmtId="0" fontId="14" fillId="0" borderId="0" xfId="7" applyAlignment="1">
      <alignment horizontal="left" indent="1"/>
    </xf>
    <xf numFmtId="0" fontId="19" fillId="0" borderId="0" xfId="7" applyFont="1"/>
    <xf numFmtId="0" fontId="19" fillId="0" borderId="0" xfId="7" applyFont="1" applyAlignment="1">
      <alignment horizontal="left"/>
    </xf>
    <xf numFmtId="0" fontId="14" fillId="0" borderId="0" xfId="7" applyAlignment="1">
      <alignment horizontal="center" vertical="center" wrapText="1"/>
    </xf>
    <xf numFmtId="0" fontId="14" fillId="7" borderId="0" xfId="7" applyFill="1"/>
    <xf numFmtId="2" fontId="14" fillId="9" borderId="0" xfId="7" applyNumberFormat="1" applyFill="1"/>
    <xf numFmtId="0" fontId="14" fillId="14" borderId="0" xfId="7" applyFill="1"/>
    <xf numFmtId="0" fontId="0" fillId="0" borderId="0" xfId="0" quotePrefix="1"/>
    <xf numFmtId="0" fontId="19" fillId="0" borderId="0" xfId="7" applyFont="1" applyAlignment="1">
      <alignment horizontal="left" indent="1"/>
    </xf>
    <xf numFmtId="0" fontId="19" fillId="4" borderId="20" xfId="7" applyFont="1" applyFill="1" applyBorder="1"/>
    <xf numFmtId="0" fontId="14" fillId="4" borderId="21" xfId="7" applyFill="1" applyBorder="1"/>
    <xf numFmtId="0" fontId="14" fillId="4" borderId="21" xfId="7" applyFill="1" applyBorder="1" applyAlignment="1">
      <alignment vertical="center" wrapText="1"/>
    </xf>
    <xf numFmtId="0" fontId="14" fillId="4" borderId="21" xfId="6" applyFill="1" applyBorder="1"/>
    <xf numFmtId="0" fontId="14" fillId="4" borderId="22" xfId="6" applyFill="1" applyBorder="1"/>
    <xf numFmtId="0" fontId="19" fillId="0" borderId="23" xfId="7" applyFont="1" applyBorder="1"/>
    <xf numFmtId="0" fontId="14" fillId="0" borderId="24" xfId="6" applyBorder="1"/>
    <xf numFmtId="0" fontId="14" fillId="0" borderId="23" xfId="7" applyBorder="1" applyAlignment="1">
      <alignment horizontal="left" indent="1"/>
    </xf>
    <xf numFmtId="0" fontId="19" fillId="0" borderId="23" xfId="7" applyFont="1" applyBorder="1" applyAlignment="1">
      <alignment horizontal="left"/>
    </xf>
    <xf numFmtId="0" fontId="23" fillId="15" borderId="25" xfId="7" applyFont="1" applyFill="1" applyBorder="1" applyAlignment="1">
      <alignment horizontal="left"/>
    </xf>
    <xf numFmtId="0" fontId="23" fillId="15" borderId="26" xfId="7" applyFont="1" applyFill="1" applyBorder="1"/>
    <xf numFmtId="0" fontId="23" fillId="15" borderId="27" xfId="7" applyFont="1" applyFill="1" applyBorder="1"/>
    <xf numFmtId="0" fontId="14" fillId="8" borderId="24" xfId="6" applyFill="1" applyBorder="1"/>
    <xf numFmtId="0" fontId="14" fillId="16" borderId="0" xfId="7" applyFill="1" applyAlignment="1">
      <alignment horizontal="center" vertical="center" wrapText="1"/>
    </xf>
    <xf numFmtId="0" fontId="14" fillId="9" borderId="0" xfId="4" applyFill="1"/>
    <xf numFmtId="0" fontId="14" fillId="9" borderId="5" xfId="4" applyFill="1" applyBorder="1"/>
    <xf numFmtId="0" fontId="14" fillId="10" borderId="0" xfId="4" applyFill="1"/>
    <xf numFmtId="2" fontId="14" fillId="14" borderId="0" xfId="7" applyNumberFormat="1" applyFill="1"/>
    <xf numFmtId="2" fontId="23" fillId="15" borderId="26" xfId="7" applyNumberFormat="1" applyFont="1" applyFill="1" applyBorder="1"/>
    <xf numFmtId="0" fontId="14" fillId="3" borderId="3" xfId="4" applyFill="1" applyBorder="1"/>
    <xf numFmtId="0" fontId="14" fillId="3" borderId="3" xfId="4" applyFill="1" applyBorder="1" applyAlignment="1">
      <alignment horizontal="center"/>
    </xf>
    <xf numFmtId="164" fontId="14" fillId="10" borderId="0" xfId="0" applyNumberFormat="1" applyFont="1" applyFill="1"/>
    <xf numFmtId="0" fontId="14" fillId="10" borderId="0" xfId="0" applyFont="1" applyFill="1"/>
    <xf numFmtId="164" fontId="14" fillId="9" borderId="5" xfId="0" applyNumberFormat="1" applyFont="1" applyFill="1" applyBorder="1"/>
    <xf numFmtId="0" fontId="14" fillId="10" borderId="5" xfId="0" applyFont="1" applyFill="1" applyBorder="1" applyAlignment="1">
      <alignment wrapText="1"/>
    </xf>
    <xf numFmtId="165" fontId="14" fillId="10" borderId="5" xfId="0" applyNumberFormat="1" applyFont="1" applyFill="1" applyBorder="1"/>
    <xf numFmtId="164" fontId="14" fillId="9" borderId="28" xfId="0" applyNumberFormat="1" applyFont="1" applyFill="1" applyBorder="1"/>
    <xf numFmtId="0" fontId="14" fillId="9" borderId="28" xfId="4" applyFill="1" applyBorder="1"/>
    <xf numFmtId="0" fontId="14" fillId="9" borderId="29" xfId="4" applyFill="1" applyBorder="1"/>
    <xf numFmtId="0" fontId="14" fillId="9" borderId="1" xfId="0" applyFont="1" applyFill="1" applyBorder="1"/>
    <xf numFmtId="0" fontId="14" fillId="9" borderId="1" xfId="4" applyFill="1" applyBorder="1"/>
    <xf numFmtId="167" fontId="14" fillId="0" borderId="0" xfId="11" applyNumberFormat="1" applyFont="1"/>
    <xf numFmtId="0" fontId="14" fillId="3" borderId="31" xfId="6" applyFill="1" applyBorder="1"/>
    <xf numFmtId="0" fontId="16" fillId="0" borderId="0" xfId="13"/>
    <xf numFmtId="9" fontId="27" fillId="9" borderId="32" xfId="12" applyFont="1" applyFill="1" applyBorder="1" applyAlignment="1">
      <alignment vertical="center"/>
    </xf>
    <xf numFmtId="9" fontId="27" fillId="10" borderId="33" xfId="12" applyFont="1" applyFill="1" applyBorder="1" applyAlignment="1">
      <alignment vertical="center"/>
    </xf>
    <xf numFmtId="9" fontId="27" fillId="9" borderId="35" xfId="12" applyFont="1" applyFill="1" applyBorder="1" applyAlignment="1">
      <alignment vertical="center"/>
    </xf>
    <xf numFmtId="0" fontId="28" fillId="12" borderId="32" xfId="14" applyFont="1" applyFill="1" applyBorder="1" applyAlignment="1">
      <alignment horizontal="center" vertical="center" wrapText="1"/>
    </xf>
    <xf numFmtId="0" fontId="28" fillId="12" borderId="36" xfId="14" applyFont="1" applyFill="1" applyBorder="1" applyAlignment="1">
      <alignment horizontal="center" vertical="center" wrapText="1"/>
    </xf>
    <xf numFmtId="0" fontId="28" fillId="12" borderId="34" xfId="14" applyFont="1" applyFill="1" applyBorder="1" applyAlignment="1">
      <alignment horizontal="center" vertical="center" wrapText="1"/>
    </xf>
    <xf numFmtId="0" fontId="20" fillId="18" borderId="37" xfId="8" applyFont="1" applyFill="1" applyBorder="1" applyAlignment="1">
      <alignment horizontal="center" vertical="center" wrapText="1"/>
    </xf>
    <xf numFmtId="0" fontId="14" fillId="19" borderId="38" xfId="0" applyFont="1" applyFill="1" applyBorder="1"/>
    <xf numFmtId="0" fontId="14" fillId="20" borderId="0" xfId="0" applyFont="1" applyFill="1"/>
    <xf numFmtId="0" fontId="14" fillId="19" borderId="0" xfId="0" applyFont="1" applyFill="1"/>
    <xf numFmtId="0" fontId="14" fillId="19" borderId="0" xfId="6" applyFill="1"/>
    <xf numFmtId="0" fontId="14" fillId="20" borderId="39" xfId="6" applyFill="1" applyBorder="1"/>
    <xf numFmtId="10" fontId="14" fillId="0" borderId="0" xfId="6" applyNumberFormat="1"/>
    <xf numFmtId="168" fontId="14" fillId="0" borderId="0" xfId="6" applyNumberFormat="1"/>
    <xf numFmtId="3" fontId="14" fillId="0" borderId="0" xfId="6" applyNumberFormat="1"/>
    <xf numFmtId="3" fontId="16" fillId="0" borderId="0" xfId="13" applyNumberFormat="1"/>
    <xf numFmtId="0" fontId="30" fillId="3" borderId="0" xfId="18" applyFont="1" applyFill="1" applyAlignment="1">
      <alignment horizontal="left"/>
    </xf>
    <xf numFmtId="0" fontId="26" fillId="3" borderId="0" xfId="18" applyFill="1" applyAlignment="1">
      <alignment horizontal="left" vertical="top" wrapText="1"/>
    </xf>
    <xf numFmtId="0" fontId="30" fillId="3" borderId="0" xfId="18" applyFont="1" applyFill="1" applyAlignment="1">
      <alignment horizontal="center"/>
    </xf>
    <xf numFmtId="0" fontId="14" fillId="0" borderId="0" xfId="7"/>
    <xf numFmtId="0" fontId="14" fillId="0" borderId="0" xfId="7" applyAlignment="1">
      <alignment horizontal="center" wrapText="1"/>
    </xf>
    <xf numFmtId="0" fontId="14" fillId="16" borderId="14" xfId="7" applyFill="1" applyBorder="1" applyAlignment="1">
      <alignment horizontal="center" vertical="center" wrapText="1"/>
    </xf>
    <xf numFmtId="0" fontId="14" fillId="16" borderId="15" xfId="7" applyFill="1" applyBorder="1" applyAlignment="1">
      <alignment horizontal="center" vertical="center" wrapText="1"/>
    </xf>
    <xf numFmtId="0" fontId="14" fillId="16" borderId="16" xfId="7" applyFill="1" applyBorder="1" applyAlignment="1">
      <alignment horizontal="center" vertical="center" wrapText="1"/>
    </xf>
    <xf numFmtId="0" fontId="14" fillId="16" borderId="17" xfId="7" applyFill="1" applyBorder="1" applyAlignment="1">
      <alignment horizontal="center" vertical="center" wrapText="1"/>
    </xf>
    <xf numFmtId="0" fontId="14" fillId="16" borderId="18" xfId="7" applyFill="1" applyBorder="1" applyAlignment="1">
      <alignment horizontal="center" vertical="center" wrapText="1"/>
    </xf>
    <xf numFmtId="0" fontId="14" fillId="16" borderId="19" xfId="7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top" wrapText="1"/>
    </xf>
    <xf numFmtId="0" fontId="22" fillId="0" borderId="12" xfId="0" applyFont="1" applyBorder="1" applyAlignment="1">
      <alignment horizontal="center" vertical="top" wrapText="1"/>
    </xf>
    <xf numFmtId="0" fontId="14" fillId="0" borderId="0" xfId="16"/>
    <xf numFmtId="0" fontId="38" fillId="3" borderId="50" xfId="16" applyFont="1" applyFill="1" applyBorder="1"/>
    <xf numFmtId="0" fontId="38" fillId="3" borderId="38" xfId="16" applyFont="1" applyFill="1" applyBorder="1" applyAlignment="1">
      <alignment wrapText="1"/>
    </xf>
    <xf numFmtId="0" fontId="19" fillId="3" borderId="38" xfId="16" applyFont="1" applyFill="1" applyBorder="1"/>
    <xf numFmtId="0" fontId="14" fillId="3" borderId="38" xfId="16" applyFill="1" applyBorder="1"/>
    <xf numFmtId="0" fontId="14" fillId="3" borderId="51" xfId="16" applyFill="1" applyBorder="1"/>
    <xf numFmtId="0" fontId="14" fillId="3" borderId="52" xfId="16" applyFill="1" applyBorder="1"/>
    <xf numFmtId="0" fontId="14" fillId="3" borderId="0" xfId="16" applyFill="1"/>
    <xf numFmtId="0" fontId="14" fillId="3" borderId="53" xfId="16" applyFill="1" applyBorder="1"/>
    <xf numFmtId="0" fontId="39" fillId="3" borderId="52" xfId="16" applyFont="1" applyFill="1" applyBorder="1"/>
    <xf numFmtId="0" fontId="39" fillId="3" borderId="0" xfId="16" applyFont="1" applyFill="1" applyAlignment="1">
      <alignment wrapText="1"/>
    </xf>
    <xf numFmtId="0" fontId="39" fillId="3" borderId="53" xfId="16" applyFont="1" applyFill="1" applyBorder="1" applyAlignment="1">
      <alignment wrapText="1"/>
    </xf>
    <xf numFmtId="0" fontId="39" fillId="0" borderId="52" xfId="16" applyFont="1" applyBorder="1" applyAlignment="1">
      <alignment wrapText="1"/>
    </xf>
    <xf numFmtId="0" fontId="39" fillId="0" borderId="0" xfId="16" applyFont="1" applyAlignment="1">
      <alignment wrapText="1"/>
    </xf>
    <xf numFmtId="0" fontId="39" fillId="0" borderId="53" xfId="16" applyFont="1" applyBorder="1" applyAlignment="1">
      <alignment wrapText="1"/>
    </xf>
    <xf numFmtId="0" fontId="41" fillId="0" borderId="52" xfId="16" applyFont="1" applyBorder="1"/>
    <xf numFmtId="0" fontId="41" fillId="0" borderId="0" xfId="16" applyFont="1"/>
    <xf numFmtId="0" fontId="41" fillId="0" borderId="0" xfId="16" applyFont="1" applyAlignment="1">
      <alignment wrapText="1"/>
    </xf>
    <xf numFmtId="0" fontId="43" fillId="0" borderId="53" xfId="16" applyFont="1" applyBorder="1" applyAlignment="1">
      <alignment wrapText="1"/>
    </xf>
    <xf numFmtId="0" fontId="41" fillId="0" borderId="53" xfId="16" applyFont="1" applyBorder="1"/>
    <xf numFmtId="0" fontId="39" fillId="0" borderId="52" xfId="16" applyFont="1" applyBorder="1"/>
    <xf numFmtId="0" fontId="39" fillId="0" borderId="0" xfId="16" applyFont="1"/>
    <xf numFmtId="0" fontId="46" fillId="0" borderId="53" xfId="16" applyFont="1" applyBorder="1"/>
    <xf numFmtId="0" fontId="39" fillId="3" borderId="50" xfId="16" applyFont="1" applyFill="1" applyBorder="1"/>
    <xf numFmtId="0" fontId="39" fillId="3" borderId="38" xfId="16" applyFont="1" applyFill="1" applyBorder="1"/>
    <xf numFmtId="0" fontId="41" fillId="3" borderId="38" xfId="16" applyFont="1" applyFill="1" applyBorder="1"/>
    <xf numFmtId="0" fontId="41" fillId="3" borderId="38" xfId="16" applyFont="1" applyFill="1" applyBorder="1" applyAlignment="1">
      <alignment wrapText="1"/>
    </xf>
    <xf numFmtId="0" fontId="43" fillId="3" borderId="51" xfId="16" applyFont="1" applyFill="1" applyBorder="1" applyAlignment="1">
      <alignment wrapText="1"/>
    </xf>
    <xf numFmtId="0" fontId="14" fillId="0" borderId="53" xfId="16" applyBorder="1"/>
    <xf numFmtId="0" fontId="39" fillId="0" borderId="54" xfId="16" applyFont="1" applyBorder="1"/>
    <xf numFmtId="0" fontId="39" fillId="0" borderId="39" xfId="16" applyFont="1" applyBorder="1"/>
    <xf numFmtId="0" fontId="14" fillId="0" borderId="39" xfId="16" applyBorder="1"/>
    <xf numFmtId="0" fontId="14" fillId="0" borderId="55" xfId="16" applyBorder="1"/>
    <xf numFmtId="0" fontId="14" fillId="0" borderId="50" xfId="16" applyBorder="1"/>
    <xf numFmtId="0" fontId="14" fillId="0" borderId="38" xfId="16" applyBorder="1"/>
    <xf numFmtId="0" fontId="14" fillId="0" borderId="51" xfId="16" applyBorder="1"/>
    <xf numFmtId="0" fontId="38" fillId="3" borderId="56" xfId="16" applyFont="1" applyFill="1" applyBorder="1" applyAlignment="1">
      <alignment wrapText="1"/>
    </xf>
    <xf numFmtId="0" fontId="38" fillId="3" borderId="57" xfId="16" applyFont="1" applyFill="1" applyBorder="1" applyAlignment="1">
      <alignment wrapText="1"/>
    </xf>
    <xf numFmtId="0" fontId="14" fillId="3" borderId="57" xfId="16" applyFill="1" applyBorder="1"/>
    <xf numFmtId="0" fontId="19" fillId="3" borderId="58" xfId="16" applyFont="1" applyFill="1" applyBorder="1"/>
    <xf numFmtId="0" fontId="14" fillId="3" borderId="56" xfId="16" applyFill="1" applyBorder="1"/>
    <xf numFmtId="0" fontId="14" fillId="3" borderId="58" xfId="16" applyFill="1" applyBorder="1"/>
    <xf numFmtId="0" fontId="14" fillId="3" borderId="56" xfId="16" applyFill="1" applyBorder="1"/>
    <xf numFmtId="0" fontId="14" fillId="3" borderId="57" xfId="16" applyFill="1" applyBorder="1" applyAlignment="1">
      <alignment wrapText="1"/>
    </xf>
    <xf numFmtId="0" fontId="14" fillId="3" borderId="57" xfId="16" applyFill="1" applyBorder="1"/>
    <xf numFmtId="0" fontId="14" fillId="3" borderId="58" xfId="16" applyFill="1" applyBorder="1"/>
    <xf numFmtId="0" fontId="19" fillId="3" borderId="56" xfId="16" applyFont="1" applyFill="1" applyBorder="1"/>
    <xf numFmtId="4" fontId="14" fillId="3" borderId="57" xfId="16" applyNumberFormat="1" applyFill="1" applyBorder="1"/>
    <xf numFmtId="3" fontId="14" fillId="3" borderId="57" xfId="16" applyNumberFormat="1" applyFill="1" applyBorder="1"/>
    <xf numFmtId="0" fontId="47" fillId="3" borderId="57" xfId="16" applyFont="1" applyFill="1" applyBorder="1"/>
    <xf numFmtId="0" fontId="47" fillId="3" borderId="58" xfId="16" applyFont="1" applyFill="1" applyBorder="1"/>
    <xf numFmtId="0" fontId="14" fillId="3" borderId="59" xfId="16" applyFill="1" applyBorder="1"/>
    <xf numFmtId="0" fontId="49" fillId="3" borderId="60" xfId="16" applyFont="1" applyFill="1" applyBorder="1"/>
    <xf numFmtId="0" fontId="14" fillId="3" borderId="60" xfId="16" applyFill="1" applyBorder="1"/>
    <xf numFmtId="3" fontId="14" fillId="3" borderId="60" xfId="16" applyNumberFormat="1" applyFill="1" applyBorder="1"/>
    <xf numFmtId="0" fontId="14" fillId="3" borderId="61" xfId="16" applyFill="1" applyBorder="1"/>
    <xf numFmtId="0" fontId="19" fillId="0" borderId="56" xfId="16" applyFont="1" applyBorder="1"/>
    <xf numFmtId="0" fontId="14" fillId="0" borderId="57" xfId="16" applyBorder="1"/>
    <xf numFmtId="0" fontId="14" fillId="0" borderId="58" xfId="16" applyBorder="1"/>
    <xf numFmtId="0" fontId="14" fillId="0" borderId="56" xfId="16" applyBorder="1"/>
    <xf numFmtId="3" fontId="14" fillId="0" borderId="57" xfId="16" applyNumberFormat="1" applyBorder="1"/>
    <xf numFmtId="0" fontId="14" fillId="0" borderId="62" xfId="16" applyBorder="1"/>
    <xf numFmtId="0" fontId="37" fillId="0" borderId="63" xfId="16" applyFont="1" applyBorder="1"/>
    <xf numFmtId="3" fontId="14" fillId="0" borderId="63" xfId="16" applyNumberFormat="1" applyBorder="1"/>
    <xf numFmtId="0" fontId="14" fillId="0" borderId="63" xfId="16" applyBorder="1"/>
    <xf numFmtId="0" fontId="14" fillId="0" borderId="64" xfId="16" applyBorder="1"/>
    <xf numFmtId="0" fontId="14" fillId="0" borderId="0" xfId="0" applyFont="1" applyFill="1"/>
    <xf numFmtId="0" fontId="14" fillId="0" borderId="0" xfId="16" applyFill="1"/>
    <xf numFmtId="0" fontId="14" fillId="0" borderId="0" xfId="16"/>
    <xf numFmtId="0" fontId="20" fillId="18" borderId="37" xfId="8" applyFont="1" applyFill="1" applyBorder="1" applyAlignment="1">
      <alignment horizontal="center" vertical="center"/>
    </xf>
    <xf numFmtId="4" fontId="14" fillId="19" borderId="0" xfId="0" applyNumberFormat="1" applyFont="1" applyFill="1"/>
    <xf numFmtId="0" fontId="14" fillId="0" borderId="0" xfId="21" applyFont="1" applyFill="1"/>
    <xf numFmtId="0" fontId="14" fillId="10" borderId="0" xfId="21" applyFont="1" applyFill="1"/>
    <xf numFmtId="0" fontId="14" fillId="9" borderId="0" xfId="21" applyFont="1" applyFill="1"/>
  </cellXfs>
  <cellStyles count="42">
    <cellStyle name="Currency" xfId="5" builtinId="4"/>
    <cellStyle name="Currency 2" xfId="22" xr:uid="{A96F0AD3-2208-4370-A7E3-455C1DD899F4}"/>
    <cellStyle name="Currency 3" xfId="30" xr:uid="{10E1204A-4B20-4609-80CE-25DF9EF1FF4A}"/>
    <cellStyle name="Dziesiętny 3" xfId="26" xr:uid="{1B9C328A-8C00-41D2-A77D-84DA6E88956C}"/>
    <cellStyle name="Hiperłącze 2" xfId="35" xr:uid="{EC515D07-AB44-47AA-9C04-985DD24F82AB}"/>
    <cellStyle name="Hiperłącze 2 4 2" xfId="28" xr:uid="{E3973698-8850-48FC-8B8F-BD3531C9634F}"/>
    <cellStyle name="Hyperlink 2" xfId="31" xr:uid="{3BF0A10B-28D6-47FB-A512-B534E3665814}"/>
    <cellStyle name="Normal" xfId="0" builtinId="0"/>
    <cellStyle name="Normal - Style1 2 2 3" xfId="24" xr:uid="{5B29D331-F6FC-4D40-AE59-344CE7CC7E8B}"/>
    <cellStyle name="Normal 10" xfId="1" xr:uid="{00000000-0005-0000-0000-000016030000}"/>
    <cellStyle name="Normal 10 15 2" xfId="8" xr:uid="{E5A914AA-3C51-4575-A411-D47338308B02}"/>
    <cellStyle name="Normal 2" xfId="21" xr:uid="{E506C02C-31CF-4D16-9C43-4FF850F282CE}"/>
    <cellStyle name="Normal 2 2 14" xfId="23" xr:uid="{C686D4BC-4061-43F3-B16A-75D77A234BE9}"/>
    <cellStyle name="Normal 2 3" xfId="16" xr:uid="{9457A865-0F13-4096-A0D8-FA85C3C3B939}"/>
    <cellStyle name="Normal 3" xfId="2" xr:uid="{00000000-0005-0000-0000-00001B030000}"/>
    <cellStyle name="Normal 39 2 2" xfId="7" xr:uid="{261CD9A1-A4B7-44BA-9569-F7EE94A0D0DC}"/>
    <cellStyle name="Normal 4" xfId="3" xr:uid="{00000000-0005-0000-0000-00001F030000}"/>
    <cellStyle name="Normal 41" xfId="10" xr:uid="{A894808C-B9C2-4D5A-BCB5-D0CD147EB8F7}"/>
    <cellStyle name="Normal 5" xfId="6" xr:uid="{00000000-0005-0000-0000-000021030000}"/>
    <cellStyle name="Normal 5 10 2" xfId="19" xr:uid="{D9712191-04A8-4803-824B-739C13C56DA1}"/>
    <cellStyle name="Normal 5 10 2 2" xfId="29" xr:uid="{8E06CD12-CFC1-4FE5-A00D-2617F1199A58}"/>
    <cellStyle name="Normal 6" xfId="41" xr:uid="{106497EF-A867-42D6-80CA-0C6D2984ADB1}"/>
    <cellStyle name="Normal 74" xfId="14" xr:uid="{CDD67493-1447-486D-9E87-92CC9E77558A}"/>
    <cellStyle name="Normal 74 2" xfId="17" xr:uid="{3755A256-3A15-4980-AA47-F07685703E44}"/>
    <cellStyle name="Normal 75" xfId="13" xr:uid="{5E4DD1BB-B2A2-4924-8213-6200EAFF2F3D}"/>
    <cellStyle name="Normal 92" xfId="9" xr:uid="{A0176DF6-2011-4869-A9A7-2DF2D063BC75}"/>
    <cellStyle name="Normalny 10 10" xfId="15" xr:uid="{91DBF07E-6F37-4D49-8806-B701EBCC81B0}"/>
    <cellStyle name="Normalny 10 2 3" xfId="4" xr:uid="{00000000-0005-0000-0000-00002D030000}"/>
    <cellStyle name="Normalny 11" xfId="40" xr:uid="{08D21801-4933-4D8B-A73F-BACBE729F67B}"/>
    <cellStyle name="Normalny 2" xfId="36" xr:uid="{646F9566-1F2C-43C9-868A-6D336B64B404}"/>
    <cellStyle name="Normalny 2 2" xfId="39" xr:uid="{2C267EEB-BF33-4D94-A232-329B0939AAB8}"/>
    <cellStyle name="Normalny 3" xfId="34" xr:uid="{D326CDD2-15E9-4E11-AAF5-995569C1F8F7}"/>
    <cellStyle name="Normalny 4" xfId="37" xr:uid="{2E11FCBE-D72A-401E-9BA5-44944E705E0C}"/>
    <cellStyle name="Normalny 4 2" xfId="20" xr:uid="{1DF63C21-D65C-4C41-A533-B815F4BBACE9}"/>
    <cellStyle name="Normalny 43 2" xfId="18" xr:uid="{356A130C-608A-4C2A-8F51-AE9C741758D5}"/>
    <cellStyle name="Normalny 43 2 2" xfId="25" xr:uid="{E14285C4-D603-4DD5-966C-11300037BFB7}"/>
    <cellStyle name="Normalny 5" xfId="33" xr:uid="{12F41709-6A34-4351-8EB6-5FC249CFCDB0}"/>
    <cellStyle name="Normalny 6" xfId="32" xr:uid="{C4FF25F9-1BC7-4D67-81DA-2B20338193D0}"/>
    <cellStyle name="Normalny 9" xfId="38" xr:uid="{AA93C929-A11C-4870-80D5-2F5F20661D4A}"/>
    <cellStyle name="Percent" xfId="11" builtinId="5"/>
    <cellStyle name="Percent 49" xfId="12" xr:uid="{C9F9DD75-B330-45C9-BF68-4F61E43C37B0}"/>
    <cellStyle name="Procentowy 5" xfId="27" xr:uid="{54866908-B0BC-4735-830B-06CD13D5B2F5}"/>
  </cellStyles>
  <dxfs count="1">
    <dxf>
      <fill>
        <patternFill>
          <bgColor rgb="FFFFFF00"/>
        </patternFill>
      </fill>
    </dxf>
  </dxfs>
  <tableStyles count="1" defaultTableStyle="TableStyleMedium9" defaultPivotStyle="PivotStyleLight16">
    <tableStyle name="Table Style 1" pivot="0" count="1" xr9:uid="{E5DA931C-3095-4BD8-89AD-098987064058}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4</xdr:row>
      <xdr:rowOff>200025</xdr:rowOff>
    </xdr:from>
    <xdr:to>
      <xdr:col>7</xdr:col>
      <xdr:colOff>508635</xdr:colOff>
      <xdr:row>7</xdr:row>
      <xdr:rowOff>10160</xdr:rowOff>
    </xdr:to>
    <xdr:pic>
      <xdr:nvPicPr>
        <xdr:cNvPr id="2" name="Picture 1" descr="Shape&#10;&#10;Description automatically generated with medium confidence">
          <a:extLst>
            <a:ext uri="{FF2B5EF4-FFF2-40B4-BE49-F238E27FC236}">
              <a16:creationId xmlns:a16="http://schemas.microsoft.com/office/drawing/2014/main" id="{984F8274-B372-4B3F-8DA5-E7ADEE952D8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170" y="1274445"/>
          <a:ext cx="3110865" cy="49593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47625</xdr:rowOff>
    </xdr:from>
    <xdr:to>
      <xdr:col>4</xdr:col>
      <xdr:colOff>227330</xdr:colOff>
      <xdr:row>7</xdr:row>
      <xdr:rowOff>113030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112AB45-9A0B-41F0-80B1-2893ABB48CE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" y="611505"/>
          <a:ext cx="1193165" cy="126174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8</xdr:row>
      <xdr:rowOff>209550</xdr:rowOff>
    </xdr:from>
    <xdr:to>
      <xdr:col>7</xdr:col>
      <xdr:colOff>581025</xdr:colOff>
      <xdr:row>11</xdr:row>
      <xdr:rowOff>38100</xdr:rowOff>
    </xdr:to>
    <xdr:pic>
      <xdr:nvPicPr>
        <xdr:cNvPr id="4" name="Picture 2" descr="https://dewey.tailorbrands.com/production/brand_version_mockup_image/174/4193022174_05130606-e8a1-4145-bba0-4e99e62f6d85.png?cb=1606377865">
          <a:extLst>
            <a:ext uri="{FF2B5EF4-FFF2-40B4-BE49-F238E27FC236}">
              <a16:creationId xmlns:a16="http://schemas.microsoft.com/office/drawing/2014/main" id="{6C6D3436-4D1A-49C0-90AC-34B86EC1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5" t="55701" r="2339" b="9772"/>
        <a:stretch>
          <a:fillRect/>
        </a:stretch>
      </xdr:blipFill>
      <xdr:spPr bwMode="auto">
        <a:xfrm>
          <a:off x="1922145" y="2198370"/>
          <a:ext cx="338328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800100</xdr:colOff>
      <xdr:row>2</xdr:row>
      <xdr:rowOff>274320</xdr:rowOff>
    </xdr:from>
    <xdr:to>
      <xdr:col>9</xdr:col>
      <xdr:colOff>91440</xdr:colOff>
      <xdr:row>6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20A2D1-9572-4DDD-8A67-DAC79B5F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38200"/>
          <a:ext cx="124206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1318847</xdr:colOff>
      <xdr:row>66</xdr:row>
      <xdr:rowOff>139210</xdr:rowOff>
    </xdr:from>
    <xdr:to>
      <xdr:col>7</xdr:col>
      <xdr:colOff>382594</xdr:colOff>
      <xdr:row>99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C0FFD-0B55-4EA8-992D-0D43FC52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847" y="5997085"/>
          <a:ext cx="7828818" cy="5309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960783</xdr:colOff>
      <xdr:row>27</xdr:row>
      <xdr:rowOff>124239</xdr:rowOff>
    </xdr:from>
    <xdr:to>
      <xdr:col>9</xdr:col>
      <xdr:colOff>182312</xdr:colOff>
      <xdr:row>42</xdr:row>
      <xdr:rowOff>24216</xdr:rowOff>
    </xdr:to>
    <xdr:pic>
      <xdr:nvPicPr>
        <xdr:cNvPr id="3" name="Picture 2" descr="A graph showing the growth of the company's sales&#10;&#10;Description automatically generated">
          <a:extLst>
            <a:ext uri="{FF2B5EF4-FFF2-40B4-BE49-F238E27FC236}">
              <a16:creationId xmlns:a16="http://schemas.microsoft.com/office/drawing/2014/main" id="{AEC41A59-39C5-D5C7-D871-3C1E9DA7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8413" y="6153978"/>
          <a:ext cx="5681964" cy="2658086"/>
        </a:xfrm>
        <a:prstGeom prst="rect">
          <a:avLst/>
        </a:prstGeom>
      </xdr:spPr>
    </xdr:pic>
    <xdr:clientData/>
  </xdr:twoCellAnchor>
  <xdr:twoCellAnchor editAs="oneCell">
    <xdr:from>
      <xdr:col>11</xdr:col>
      <xdr:colOff>712304</xdr:colOff>
      <xdr:row>11</xdr:row>
      <xdr:rowOff>81049</xdr:rowOff>
    </xdr:from>
    <xdr:to>
      <xdr:col>20</xdr:col>
      <xdr:colOff>31787</xdr:colOff>
      <xdr:row>29</xdr:row>
      <xdr:rowOff>82777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E7C72-0C1C-C28B-9268-264F5E5B5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83847" y="2068875"/>
          <a:ext cx="5763353" cy="442464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wyrwa" id="{114C5E03-EC50-48C2-9801-76E7D43D41ED}" userId="awyrwa" providerId="None"/>
  <person displayName="Maciej Raczyński" id="{030DF7D6-B273-4BAA-85D0-5378F96A9DAE}" userId="Maciej Raczyński" providerId="None"/>
  <person displayName="Patrycja Rzeszut" id="{7AFA507A-0B28-4B68-9CA2-DAF5F4D8282E}" userId="S::przeszut@agh.edu.pl::0d04f1b8-d0cf-4692-9c24-d678933fb5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2-12-12T17:18:51.90" personId="{030DF7D6-B273-4BAA-85D0-5378F96A9DAE}" id="{578EAF4A-2948-479B-88BF-5A898DB80D0A}">
    <text xml:space="preserve">Różnica między GUS a Eurostat, zostawiam, żeby zgadzało się z GUSem całkowite zużycie
</text>
  </threadedComment>
  <threadedComment ref="E20" dT="2022-12-11T15:37:17.75" personId="{114C5E03-EC50-48C2-9801-76E7D43D41ED}" id="{97B1867E-6684-4D83-B825-65C70A72091D}">
    <text>Tyle u nas HT+HW w DH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73" dT="2025-10-21T08:46:14.13" personId="{7AFA507A-0B28-4B68-9CA2-DAF5F4D8282E}" id="{75EE449B-1191-42E9-9288-D8EEF162166B}">
    <text>Brak danych dla 2020r. - pobrano dane z odpowiadającego dokumentu dla roku 2022.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kracz@agh.edu.p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2A59-879F-495C-8D6A-A1B5ADCA0B5F}">
  <dimension ref="A1:O49"/>
  <sheetViews>
    <sheetView workbookViewId="0">
      <selection activeCell="B2" sqref="B2"/>
    </sheetView>
  </sheetViews>
  <sheetFormatPr defaultColWidth="9.140625" defaultRowHeight="18.75"/>
  <cols>
    <col min="1" max="3" width="4" style="64" customWidth="1"/>
    <col min="4" max="9" width="14.28515625" style="64" customWidth="1"/>
    <col min="10" max="12" width="4" style="64" customWidth="1"/>
    <col min="13" max="16384" width="9.140625" style="64"/>
  </cols>
  <sheetData>
    <row r="1" spans="1:15" ht="22.5" customHeight="1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5" ht="22.5" customHeight="1">
      <c r="A2" s="65"/>
      <c r="B2" s="63"/>
      <c r="C2" s="62"/>
      <c r="D2" s="62"/>
      <c r="E2" s="62"/>
      <c r="F2" s="62"/>
      <c r="G2" s="62"/>
      <c r="H2" s="62"/>
      <c r="I2" s="62"/>
      <c r="J2" s="62"/>
      <c r="K2" s="61"/>
      <c r="L2" s="65"/>
    </row>
    <row r="3" spans="1:15" ht="22.5" customHeight="1">
      <c r="A3" s="65"/>
      <c r="B3" s="60"/>
      <c r="C3" s="59"/>
      <c r="D3" s="58"/>
      <c r="E3" s="58"/>
      <c r="F3" s="58"/>
      <c r="G3" s="58"/>
      <c r="H3" s="58"/>
      <c r="I3" s="58"/>
      <c r="J3" s="57"/>
      <c r="K3" s="56"/>
      <c r="L3" s="65"/>
    </row>
    <row r="4" spans="1:15">
      <c r="A4" s="65"/>
      <c r="B4" s="60"/>
      <c r="C4" s="55"/>
      <c r="J4" s="54"/>
      <c r="K4" s="56"/>
      <c r="L4" s="65"/>
    </row>
    <row r="5" spans="1:15">
      <c r="A5" s="65"/>
      <c r="B5" s="60"/>
      <c r="C5" s="55"/>
      <c r="J5" s="54"/>
      <c r="K5" s="56"/>
      <c r="L5" s="65"/>
    </row>
    <row r="6" spans="1:15">
      <c r="A6" s="65"/>
      <c r="B6" s="60"/>
      <c r="C6" s="55"/>
      <c r="J6" s="54"/>
      <c r="K6" s="56"/>
      <c r="L6" s="65"/>
      <c r="O6" s="53"/>
    </row>
    <row r="7" spans="1:15">
      <c r="A7" s="65"/>
      <c r="B7" s="60"/>
      <c r="C7" s="55"/>
      <c r="J7" s="54"/>
      <c r="K7" s="56"/>
      <c r="L7" s="65"/>
    </row>
    <row r="8" spans="1:15">
      <c r="A8" s="65"/>
      <c r="B8" s="60"/>
      <c r="C8" s="55"/>
      <c r="J8" s="54"/>
      <c r="K8" s="56"/>
      <c r="L8" s="65"/>
    </row>
    <row r="9" spans="1:15">
      <c r="A9" s="65"/>
      <c r="B9" s="60"/>
      <c r="C9" s="55"/>
      <c r="J9" s="54"/>
      <c r="K9" s="56"/>
      <c r="L9" s="65"/>
    </row>
    <row r="10" spans="1:15">
      <c r="A10" s="65"/>
      <c r="B10" s="60"/>
      <c r="C10" s="55"/>
      <c r="J10" s="54"/>
      <c r="K10" s="56"/>
      <c r="L10" s="65"/>
    </row>
    <row r="11" spans="1:15">
      <c r="A11" s="65"/>
      <c r="B11" s="60"/>
      <c r="C11" s="55"/>
      <c r="J11" s="54"/>
      <c r="K11" s="56"/>
      <c r="L11" s="65"/>
    </row>
    <row r="12" spans="1:15">
      <c r="A12" s="65"/>
      <c r="B12" s="60"/>
      <c r="C12" s="55"/>
      <c r="J12" s="54"/>
      <c r="K12" s="56"/>
      <c r="L12" s="65"/>
    </row>
    <row r="13" spans="1:15">
      <c r="A13" s="65"/>
      <c r="B13" s="60"/>
      <c r="C13" s="55"/>
      <c r="J13" s="54"/>
      <c r="K13" s="56"/>
      <c r="L13" s="65"/>
    </row>
    <row r="14" spans="1:15">
      <c r="A14" s="65"/>
      <c r="B14" s="60"/>
      <c r="C14" s="55"/>
      <c r="D14" s="196" t="s">
        <v>306</v>
      </c>
      <c r="E14" s="196"/>
      <c r="F14" s="197" t="s">
        <v>307</v>
      </c>
      <c r="G14" s="197"/>
      <c r="H14" s="197"/>
      <c r="J14" s="54"/>
      <c r="K14" s="56"/>
      <c r="L14" s="65"/>
    </row>
    <row r="15" spans="1:15">
      <c r="A15" s="65"/>
      <c r="B15" s="60"/>
      <c r="C15" s="55"/>
      <c r="D15" s="52"/>
      <c r="E15" s="52"/>
      <c r="F15" s="197"/>
      <c r="G15" s="197"/>
      <c r="H15" s="197"/>
      <c r="J15" s="54"/>
      <c r="K15" s="56"/>
      <c r="L15" s="65"/>
    </row>
    <row r="16" spans="1:15">
      <c r="A16" s="65"/>
      <c r="B16" s="60"/>
      <c r="C16" s="55"/>
      <c r="J16" s="54"/>
      <c r="K16" s="56"/>
      <c r="L16" s="65"/>
    </row>
    <row r="17" spans="1:12">
      <c r="A17" s="65"/>
      <c r="B17" s="60"/>
      <c r="C17" s="55"/>
      <c r="J17" s="54"/>
      <c r="K17" s="56"/>
      <c r="L17" s="65"/>
    </row>
    <row r="18" spans="1:12" ht="18.75" customHeight="1">
      <c r="A18" s="65"/>
      <c r="B18" s="60"/>
      <c r="C18" s="55"/>
      <c r="D18" s="196" t="s">
        <v>308</v>
      </c>
      <c r="E18" s="196"/>
      <c r="F18" s="197" t="s">
        <v>318</v>
      </c>
      <c r="G18" s="197"/>
      <c r="H18" s="197"/>
      <c r="I18" s="197"/>
      <c r="J18" s="54"/>
      <c r="K18" s="56"/>
      <c r="L18" s="65"/>
    </row>
    <row r="19" spans="1:12">
      <c r="A19" s="65"/>
      <c r="B19" s="60"/>
      <c r="C19" s="55"/>
      <c r="D19" s="52"/>
      <c r="E19" s="52"/>
      <c r="F19" s="197"/>
      <c r="G19" s="197"/>
      <c r="H19" s="197"/>
      <c r="I19" s="197"/>
      <c r="J19" s="54"/>
      <c r="K19" s="56"/>
      <c r="L19" s="65"/>
    </row>
    <row r="20" spans="1:12">
      <c r="A20" s="65"/>
      <c r="B20" s="60"/>
      <c r="C20" s="55"/>
      <c r="D20" s="52"/>
      <c r="E20" s="52"/>
      <c r="F20" s="197"/>
      <c r="G20" s="197"/>
      <c r="H20" s="197"/>
      <c r="I20" s="197"/>
      <c r="J20" s="54"/>
      <c r="K20" s="56"/>
      <c r="L20" s="65"/>
    </row>
    <row r="21" spans="1:12">
      <c r="A21" s="65"/>
      <c r="B21" s="60"/>
      <c r="C21" s="55"/>
      <c r="F21" s="51"/>
      <c r="G21" s="51"/>
      <c r="H21" s="51"/>
      <c r="J21" s="54"/>
      <c r="K21" s="56"/>
      <c r="L21" s="65"/>
    </row>
    <row r="22" spans="1:12">
      <c r="A22" s="65"/>
      <c r="B22" s="60"/>
      <c r="C22" s="55"/>
      <c r="D22" s="196" t="s">
        <v>309</v>
      </c>
      <c r="E22" s="196"/>
      <c r="F22" s="50">
        <v>45173</v>
      </c>
      <c r="G22" s="30"/>
      <c r="H22" s="30"/>
      <c r="J22" s="54"/>
      <c r="K22" s="56"/>
      <c r="L22" s="65"/>
    </row>
    <row r="23" spans="1:12">
      <c r="A23" s="65"/>
      <c r="B23" s="60"/>
      <c r="C23" s="55"/>
      <c r="D23" s="52"/>
      <c r="E23" s="52"/>
      <c r="F23" s="50"/>
      <c r="G23" s="30"/>
      <c r="H23" s="30"/>
      <c r="J23" s="54"/>
      <c r="K23" s="56"/>
      <c r="L23" s="65"/>
    </row>
    <row r="24" spans="1:12">
      <c r="A24" s="65"/>
      <c r="B24" s="60"/>
      <c r="C24" s="55"/>
      <c r="D24" s="52"/>
      <c r="E24" s="52"/>
      <c r="F24" s="50"/>
      <c r="G24" s="30"/>
      <c r="H24" s="30"/>
      <c r="J24" s="54"/>
      <c r="K24" s="56"/>
      <c r="L24" s="65"/>
    </row>
    <row r="25" spans="1:12">
      <c r="A25" s="65"/>
      <c r="B25" s="60"/>
      <c r="C25" s="55"/>
      <c r="D25" s="52" t="s">
        <v>310</v>
      </c>
      <c r="E25" s="52"/>
      <c r="F25" s="50">
        <v>45289</v>
      </c>
      <c r="G25" s="30"/>
      <c r="H25" s="30"/>
      <c r="J25" s="54"/>
      <c r="K25" s="56"/>
      <c r="L25" s="65"/>
    </row>
    <row r="26" spans="1:12">
      <c r="A26" s="65"/>
      <c r="B26" s="60"/>
      <c r="C26" s="55"/>
      <c r="D26" s="52"/>
      <c r="E26" s="52"/>
      <c r="F26" s="50"/>
      <c r="G26" s="30"/>
      <c r="H26" s="30"/>
      <c r="J26" s="54"/>
      <c r="K26" s="56"/>
      <c r="L26" s="65"/>
    </row>
    <row r="27" spans="1:12">
      <c r="A27" s="65"/>
      <c r="B27" s="60"/>
      <c r="C27" s="55"/>
      <c r="J27" s="54"/>
      <c r="K27" s="56"/>
      <c r="L27" s="65"/>
    </row>
    <row r="28" spans="1:12">
      <c r="A28" s="65"/>
      <c r="B28" s="60"/>
      <c r="C28" s="55"/>
      <c r="D28" s="196" t="s">
        <v>311</v>
      </c>
      <c r="E28" s="196"/>
      <c r="F28" s="64" t="s">
        <v>312</v>
      </c>
      <c r="J28" s="54"/>
      <c r="K28" s="56"/>
      <c r="L28" s="65"/>
    </row>
    <row r="29" spans="1:12">
      <c r="A29" s="65"/>
      <c r="B29" s="60"/>
      <c r="C29" s="55"/>
      <c r="F29" s="64" t="s">
        <v>313</v>
      </c>
      <c r="J29" s="54"/>
      <c r="K29" s="56"/>
      <c r="L29" s="65"/>
    </row>
    <row r="30" spans="1:12">
      <c r="A30" s="65"/>
      <c r="B30" s="60"/>
      <c r="C30" s="55"/>
      <c r="J30" s="54"/>
      <c r="K30" s="56"/>
      <c r="L30" s="65"/>
    </row>
    <row r="31" spans="1:12">
      <c r="A31" s="65"/>
      <c r="B31" s="60"/>
      <c r="C31" s="55"/>
      <c r="J31" s="54"/>
      <c r="K31" s="56"/>
      <c r="L31" s="65"/>
    </row>
    <row r="32" spans="1:12">
      <c r="A32" s="65"/>
      <c r="B32" s="60"/>
      <c r="C32" s="55"/>
      <c r="D32" s="196" t="s">
        <v>314</v>
      </c>
      <c r="E32" s="196"/>
      <c r="F32" s="64" t="s">
        <v>312</v>
      </c>
      <c r="J32" s="54"/>
      <c r="K32" s="56"/>
      <c r="L32" s="65"/>
    </row>
    <row r="33" spans="1:12">
      <c r="A33" s="65"/>
      <c r="B33" s="60"/>
      <c r="C33" s="55"/>
      <c r="F33" s="49" t="s">
        <v>315</v>
      </c>
      <c r="J33" s="54"/>
      <c r="K33" s="56"/>
      <c r="L33" s="65"/>
    </row>
    <row r="34" spans="1:12">
      <c r="A34" s="65"/>
      <c r="B34" s="60"/>
      <c r="C34" s="55"/>
      <c r="J34" s="54"/>
      <c r="K34" s="56"/>
      <c r="L34" s="65"/>
    </row>
    <row r="35" spans="1:12">
      <c r="A35" s="65"/>
      <c r="B35" s="60"/>
      <c r="C35" s="55"/>
      <c r="J35" s="54"/>
      <c r="K35" s="56"/>
      <c r="L35" s="65"/>
    </row>
    <row r="36" spans="1:12">
      <c r="A36" s="65"/>
      <c r="B36" s="60"/>
      <c r="C36" s="55"/>
      <c r="J36" s="54"/>
      <c r="K36" s="56"/>
      <c r="L36" s="65"/>
    </row>
    <row r="37" spans="1:12">
      <c r="A37" s="65"/>
      <c r="B37" s="60"/>
      <c r="C37" s="55"/>
      <c r="J37" s="54"/>
      <c r="K37" s="56"/>
      <c r="L37" s="65"/>
    </row>
    <row r="38" spans="1:12">
      <c r="A38" s="65"/>
      <c r="B38" s="60"/>
      <c r="C38" s="48"/>
      <c r="D38" s="47"/>
      <c r="E38" s="47"/>
      <c r="F38" s="47"/>
      <c r="G38" s="47"/>
      <c r="H38" s="47"/>
      <c r="I38" s="47"/>
      <c r="J38" s="46"/>
      <c r="K38" s="56"/>
      <c r="L38" s="65"/>
    </row>
    <row r="39" spans="1:12" ht="22.5" customHeight="1">
      <c r="A39" s="65"/>
      <c r="B39" s="45"/>
      <c r="C39" s="44"/>
      <c r="D39" s="44"/>
      <c r="E39" s="44"/>
      <c r="F39" s="44"/>
      <c r="G39" s="44"/>
      <c r="H39" s="44"/>
      <c r="I39" s="44"/>
      <c r="J39" s="44"/>
      <c r="K39" s="43"/>
      <c r="L39" s="65"/>
    </row>
    <row r="40" spans="1:12" ht="22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</row>
    <row r="48" spans="1:12" ht="59.45" customHeight="1"/>
    <row r="49" ht="64.150000000000006" customHeight="1"/>
  </sheetData>
  <mergeCells count="7">
    <mergeCell ref="D32:E32"/>
    <mergeCell ref="D14:E14"/>
    <mergeCell ref="F14:H15"/>
    <mergeCell ref="D18:E18"/>
    <mergeCell ref="F18:I20"/>
    <mergeCell ref="D22:E22"/>
    <mergeCell ref="D28:E28"/>
  </mergeCells>
  <hyperlinks>
    <hyperlink ref="F33" r:id="rId1" display="makracz@agh.edu.pl" xr:uid="{FB5ACD0E-D2A5-425F-8B9B-B55EA405538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481A-D2DF-4904-8542-3490B02494C7}">
  <dimension ref="A1:I40"/>
  <sheetViews>
    <sheetView workbookViewId="0">
      <selection activeCell="B2" sqref="B2"/>
    </sheetView>
  </sheetViews>
  <sheetFormatPr defaultColWidth="9.140625" defaultRowHeight="12.75"/>
  <cols>
    <col min="1" max="3" width="4" style="42" customWidth="1"/>
    <col min="4" max="4" width="17.140625" style="42" customWidth="1"/>
    <col min="5" max="5" width="24.28515625" style="42" customWidth="1"/>
    <col min="6" max="6" width="44.28515625" style="42" customWidth="1"/>
    <col min="7" max="9" width="4" style="42" customWidth="1"/>
    <col min="10" max="16384" width="9.140625" style="42"/>
  </cols>
  <sheetData>
    <row r="1" spans="1:9" ht="22.5" customHeight="1">
      <c r="A1" s="65"/>
      <c r="B1" s="65"/>
      <c r="C1" s="65"/>
      <c r="D1" s="65"/>
      <c r="E1" s="65"/>
      <c r="F1" s="65"/>
      <c r="G1" s="65"/>
      <c r="H1" s="65"/>
      <c r="I1" s="65"/>
    </row>
    <row r="2" spans="1:9" ht="22.5" customHeight="1">
      <c r="A2" s="65"/>
      <c r="B2" s="63"/>
      <c r="C2" s="62"/>
      <c r="D2" s="62"/>
      <c r="E2" s="62"/>
      <c r="F2" s="62"/>
      <c r="G2" s="62"/>
      <c r="H2" s="61"/>
      <c r="I2" s="65"/>
    </row>
    <row r="3" spans="1:9" ht="18.75">
      <c r="A3" s="65"/>
      <c r="B3" s="60"/>
      <c r="C3" s="59"/>
      <c r="D3" s="58"/>
      <c r="E3" s="58"/>
      <c r="F3" s="58"/>
      <c r="G3" s="57"/>
      <c r="H3" s="56"/>
      <c r="I3" s="65"/>
    </row>
    <row r="4" spans="1:9" ht="18.75">
      <c r="A4" s="65"/>
      <c r="B4" s="60"/>
      <c r="C4" s="55"/>
      <c r="D4" s="198" t="s">
        <v>316</v>
      </c>
      <c r="E4" s="198"/>
      <c r="F4" s="198"/>
      <c r="G4" s="54"/>
      <c r="H4" s="56"/>
      <c r="I4" s="65"/>
    </row>
    <row r="5" spans="1:9" ht="18.75">
      <c r="A5" s="65"/>
      <c r="B5" s="60"/>
      <c r="C5" s="55"/>
      <c r="D5" s="41"/>
      <c r="E5" s="41"/>
      <c r="F5" s="41"/>
      <c r="G5" s="54"/>
      <c r="H5" s="56"/>
      <c r="I5" s="65"/>
    </row>
    <row r="6" spans="1:9" ht="18.75">
      <c r="A6" s="65"/>
      <c r="B6" s="60"/>
      <c r="C6" s="55"/>
      <c r="D6" s="40" t="s">
        <v>317</v>
      </c>
      <c r="E6" s="39"/>
      <c r="F6" s="39"/>
      <c r="G6" s="54"/>
      <c r="H6" s="56"/>
      <c r="I6" s="65"/>
    </row>
    <row r="7" spans="1:9" ht="18.75">
      <c r="A7" s="65"/>
      <c r="B7" s="60"/>
      <c r="C7" s="55"/>
      <c r="D7" s="38"/>
      <c r="E7" s="37"/>
      <c r="F7" s="37"/>
      <c r="G7" s="54"/>
      <c r="H7" s="56"/>
      <c r="I7" s="65"/>
    </row>
    <row r="8" spans="1:9" ht="18.75">
      <c r="A8" s="65"/>
      <c r="B8" s="60"/>
      <c r="C8" s="55"/>
      <c r="D8" s="38"/>
      <c r="E8" s="36"/>
      <c r="F8" s="37"/>
      <c r="G8" s="54"/>
      <c r="H8" s="56"/>
      <c r="I8" s="65"/>
    </row>
    <row r="9" spans="1:9" ht="18.75">
      <c r="A9" s="65"/>
      <c r="B9" s="60"/>
      <c r="C9" s="55"/>
      <c r="D9" s="35"/>
      <c r="E9" s="34"/>
      <c r="F9" s="34"/>
      <c r="G9" s="54"/>
      <c r="H9" s="56"/>
      <c r="I9" s="65"/>
    </row>
    <row r="10" spans="1:9" ht="18.75">
      <c r="A10" s="65"/>
      <c r="B10" s="60"/>
      <c r="C10" s="55"/>
      <c r="D10" s="35"/>
      <c r="E10" s="34"/>
      <c r="F10" s="34"/>
      <c r="G10" s="54"/>
      <c r="H10" s="56"/>
      <c r="I10" s="65"/>
    </row>
    <row r="11" spans="1:9" ht="18.75">
      <c r="A11" s="65"/>
      <c r="B11" s="60"/>
      <c r="C11" s="55"/>
      <c r="D11" s="35"/>
      <c r="E11" s="34"/>
      <c r="F11" s="34"/>
      <c r="G11" s="54"/>
      <c r="H11" s="56"/>
      <c r="I11" s="65"/>
    </row>
    <row r="12" spans="1:9" ht="18.75">
      <c r="A12" s="65"/>
      <c r="B12" s="60"/>
      <c r="C12" s="55"/>
      <c r="D12" s="35"/>
      <c r="E12" s="34"/>
      <c r="F12" s="34"/>
      <c r="G12" s="54"/>
      <c r="H12" s="56"/>
      <c r="I12" s="65"/>
    </row>
    <row r="13" spans="1:9" ht="18.75">
      <c r="A13" s="65"/>
      <c r="B13" s="60"/>
      <c r="C13" s="55"/>
      <c r="D13" s="35"/>
      <c r="E13" s="34"/>
      <c r="F13" s="34"/>
      <c r="G13" s="54"/>
      <c r="H13" s="56"/>
      <c r="I13" s="65"/>
    </row>
    <row r="14" spans="1:9" ht="18.75">
      <c r="A14" s="65"/>
      <c r="B14" s="60"/>
      <c r="C14" s="55"/>
      <c r="D14" s="33"/>
      <c r="E14" s="34"/>
      <c r="F14" s="34"/>
      <c r="G14" s="54"/>
      <c r="H14" s="56"/>
      <c r="I14" s="65"/>
    </row>
    <row r="15" spans="1:9" ht="18.75">
      <c r="A15" s="65"/>
      <c r="B15" s="60"/>
      <c r="C15" s="55"/>
      <c r="D15" s="32"/>
      <c r="E15" s="34"/>
      <c r="F15" s="34"/>
      <c r="G15" s="54"/>
      <c r="H15" s="56"/>
      <c r="I15" s="65"/>
    </row>
    <row r="16" spans="1:9" ht="18.75">
      <c r="A16" s="65"/>
      <c r="B16" s="60"/>
      <c r="C16" s="55"/>
      <c r="D16" s="35"/>
      <c r="E16" s="34"/>
      <c r="F16" s="34"/>
      <c r="G16" s="54"/>
      <c r="H16" s="56"/>
      <c r="I16" s="65"/>
    </row>
    <row r="17" spans="1:9" ht="18.75">
      <c r="A17" s="65"/>
      <c r="B17" s="60"/>
      <c r="C17" s="55"/>
      <c r="D17" s="35"/>
      <c r="E17" s="34"/>
      <c r="F17" s="34"/>
      <c r="G17" s="54"/>
      <c r="H17" s="56"/>
      <c r="I17" s="65"/>
    </row>
    <row r="18" spans="1:9" ht="18.75">
      <c r="A18" s="65"/>
      <c r="B18" s="60"/>
      <c r="C18" s="55"/>
      <c r="D18" s="33"/>
      <c r="E18" s="34"/>
      <c r="F18" s="34"/>
      <c r="G18" s="54"/>
      <c r="H18" s="56"/>
      <c r="I18" s="65"/>
    </row>
    <row r="19" spans="1:9" ht="18.75">
      <c r="A19" s="65"/>
      <c r="B19" s="60"/>
      <c r="C19" s="55"/>
      <c r="D19" s="32"/>
      <c r="E19" s="34"/>
      <c r="F19" s="34"/>
      <c r="G19" s="54"/>
      <c r="H19" s="56"/>
      <c r="I19" s="65"/>
    </row>
    <row r="20" spans="1:9" ht="18.75">
      <c r="A20" s="65"/>
      <c r="B20" s="60"/>
      <c r="C20" s="55"/>
      <c r="D20" s="32"/>
      <c r="E20" s="34"/>
      <c r="F20" s="34"/>
      <c r="G20" s="54"/>
      <c r="H20" s="56"/>
      <c r="I20" s="65"/>
    </row>
    <row r="21" spans="1:9" ht="18.75">
      <c r="A21" s="65"/>
      <c r="B21" s="60"/>
      <c r="C21" s="55"/>
      <c r="D21" s="35"/>
      <c r="E21" s="34"/>
      <c r="F21" s="34"/>
      <c r="G21" s="54"/>
      <c r="H21" s="56"/>
      <c r="I21" s="65"/>
    </row>
    <row r="22" spans="1:9" ht="18.75">
      <c r="A22" s="65"/>
      <c r="B22" s="60"/>
      <c r="C22" s="55"/>
      <c r="D22" s="33"/>
      <c r="E22" s="34"/>
      <c r="F22" s="34"/>
      <c r="G22" s="54"/>
      <c r="H22" s="56"/>
      <c r="I22" s="65"/>
    </row>
    <row r="23" spans="1:9" ht="18.75">
      <c r="A23" s="65"/>
      <c r="B23" s="60"/>
      <c r="C23" s="55"/>
      <c r="D23" s="32"/>
      <c r="E23" s="34"/>
      <c r="F23" s="34"/>
      <c r="G23" s="54"/>
      <c r="H23" s="56"/>
      <c r="I23" s="65"/>
    </row>
    <row r="24" spans="1:9" ht="18.75">
      <c r="A24" s="65"/>
      <c r="B24" s="60"/>
      <c r="C24" s="55"/>
      <c r="D24" s="32"/>
      <c r="E24" s="34"/>
      <c r="F24" s="34"/>
      <c r="G24" s="54"/>
      <c r="H24" s="56"/>
      <c r="I24" s="65"/>
    </row>
    <row r="25" spans="1:9" ht="18.75">
      <c r="A25" s="65"/>
      <c r="B25" s="60"/>
      <c r="C25" s="55"/>
      <c r="D25" s="32"/>
      <c r="E25" s="34"/>
      <c r="F25" s="34"/>
      <c r="G25" s="54"/>
      <c r="H25" s="56"/>
      <c r="I25" s="65"/>
    </row>
    <row r="26" spans="1:9" ht="18.75">
      <c r="A26" s="65"/>
      <c r="B26" s="60"/>
      <c r="C26" s="55"/>
      <c r="D26" s="32"/>
      <c r="E26" s="34"/>
      <c r="F26" s="34"/>
      <c r="G26" s="54"/>
      <c r="H26" s="56"/>
      <c r="I26" s="65"/>
    </row>
    <row r="27" spans="1:9" ht="18.75">
      <c r="A27" s="65"/>
      <c r="B27" s="60"/>
      <c r="C27" s="55"/>
      <c r="D27" s="35"/>
      <c r="E27" s="34"/>
      <c r="F27" s="34"/>
      <c r="G27" s="54"/>
      <c r="H27" s="56"/>
      <c r="I27" s="65"/>
    </row>
    <row r="28" spans="1:9" ht="18.75">
      <c r="A28" s="65"/>
      <c r="B28" s="60"/>
      <c r="C28" s="55"/>
      <c r="D28" s="33"/>
      <c r="E28" s="34"/>
      <c r="F28" s="34"/>
      <c r="G28" s="54"/>
      <c r="H28" s="56"/>
      <c r="I28" s="65"/>
    </row>
    <row r="29" spans="1:9" ht="18.75">
      <c r="A29" s="65"/>
      <c r="B29" s="60"/>
      <c r="C29" s="55"/>
      <c r="D29" s="35"/>
      <c r="E29" s="34"/>
      <c r="F29" s="34"/>
      <c r="G29" s="54"/>
      <c r="H29" s="56"/>
      <c r="I29" s="65"/>
    </row>
    <row r="30" spans="1:9" ht="18.75">
      <c r="A30" s="65"/>
      <c r="B30" s="60"/>
      <c r="C30" s="55"/>
      <c r="D30" s="35"/>
      <c r="E30" s="34"/>
      <c r="F30" s="34"/>
      <c r="G30" s="54"/>
      <c r="H30" s="56"/>
      <c r="I30" s="65"/>
    </row>
    <row r="31" spans="1:9" ht="18.75">
      <c r="A31" s="65"/>
      <c r="B31" s="60"/>
      <c r="C31" s="55"/>
      <c r="D31" s="35"/>
      <c r="E31" s="34"/>
      <c r="F31" s="34"/>
      <c r="G31" s="54"/>
      <c r="H31" s="56"/>
      <c r="I31" s="65"/>
    </row>
    <row r="32" spans="1:9" ht="18.75">
      <c r="A32" s="65"/>
      <c r="B32" s="60"/>
      <c r="C32" s="55"/>
      <c r="D32" s="33"/>
      <c r="E32" s="34"/>
      <c r="F32" s="34"/>
      <c r="G32" s="54"/>
      <c r="H32" s="56"/>
      <c r="I32" s="65"/>
    </row>
    <row r="33" spans="1:9" ht="18.75">
      <c r="A33" s="65"/>
      <c r="B33" s="60"/>
      <c r="C33" s="55"/>
      <c r="D33" s="35"/>
      <c r="E33" s="34"/>
      <c r="F33" s="34"/>
      <c r="G33" s="54"/>
      <c r="H33" s="56"/>
      <c r="I33" s="65"/>
    </row>
    <row r="34" spans="1:9" ht="18.75">
      <c r="A34" s="65"/>
      <c r="B34" s="60"/>
      <c r="C34" s="55"/>
      <c r="D34" s="35"/>
      <c r="E34" s="34"/>
      <c r="F34" s="34"/>
      <c r="G34" s="54"/>
      <c r="H34" s="56"/>
      <c r="I34" s="65"/>
    </row>
    <row r="35" spans="1:9" ht="18.75">
      <c r="A35" s="65"/>
      <c r="B35" s="60"/>
      <c r="C35" s="55"/>
      <c r="D35" s="35"/>
      <c r="E35" s="34"/>
      <c r="F35" s="34"/>
      <c r="G35" s="54"/>
      <c r="H35" s="56"/>
      <c r="I35" s="65"/>
    </row>
    <row r="36" spans="1:9" ht="18.75">
      <c r="A36" s="65"/>
      <c r="B36" s="60"/>
      <c r="C36" s="55"/>
      <c r="D36" s="35"/>
      <c r="E36" s="34"/>
      <c r="F36" s="34"/>
      <c r="G36" s="54"/>
      <c r="H36" s="56"/>
      <c r="I36" s="65"/>
    </row>
    <row r="37" spans="1:9" ht="18.75">
      <c r="A37" s="65"/>
      <c r="B37" s="60"/>
      <c r="C37" s="55"/>
      <c r="D37" s="35"/>
      <c r="E37" s="34"/>
      <c r="F37" s="34"/>
      <c r="G37" s="54"/>
      <c r="H37" s="56"/>
      <c r="I37" s="65"/>
    </row>
    <row r="38" spans="1:9" ht="18.75">
      <c r="A38" s="65"/>
      <c r="B38" s="60"/>
      <c r="C38" s="48"/>
      <c r="D38" s="31"/>
      <c r="E38" s="31"/>
      <c r="F38" s="31"/>
      <c r="G38" s="46"/>
      <c r="H38" s="56"/>
      <c r="I38" s="65"/>
    </row>
    <row r="39" spans="1:9" ht="22.5" customHeight="1">
      <c r="A39" s="65"/>
      <c r="B39" s="45"/>
      <c r="C39" s="44"/>
      <c r="D39" s="44"/>
      <c r="E39" s="44"/>
      <c r="F39" s="44"/>
      <c r="G39" s="44"/>
      <c r="H39" s="43"/>
      <c r="I39" s="65"/>
    </row>
    <row r="40" spans="1:9" ht="22.5" customHeight="1">
      <c r="A40" s="65"/>
      <c r="B40" s="65"/>
      <c r="C40" s="65"/>
      <c r="D40" s="65"/>
      <c r="E40" s="65"/>
      <c r="F40" s="65"/>
      <c r="G40" s="65"/>
      <c r="H40" s="65"/>
      <c r="I40" s="65"/>
    </row>
  </sheetData>
  <mergeCells count="1">
    <mergeCell ref="D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28"/>
  <sheetViews>
    <sheetView zoomScaleNormal="100" workbookViewId="0">
      <selection activeCell="D39" sqref="D39"/>
    </sheetView>
  </sheetViews>
  <sheetFormatPr defaultRowHeight="12.75"/>
  <cols>
    <col min="1" max="1" width="2.85546875" customWidth="1"/>
    <col min="2" max="3" width="15" customWidth="1"/>
    <col min="4" max="4" width="26.7109375" customWidth="1"/>
    <col min="5" max="5" width="36" customWidth="1"/>
    <col min="6" max="6" width="10" customWidth="1"/>
    <col min="7" max="7" width="11.42578125" bestFit="1" customWidth="1"/>
    <col min="8" max="8" width="12" customWidth="1"/>
    <col min="9" max="9" width="14.28515625" customWidth="1"/>
    <col min="10" max="10" width="12.85546875" customWidth="1"/>
    <col min="11" max="11" width="10.42578125" customWidth="1"/>
    <col min="12" max="13" width="10.7109375" bestFit="1" customWidth="1"/>
  </cols>
  <sheetData>
    <row r="2" spans="2:10" ht="15">
      <c r="B2" s="72" t="s">
        <v>2</v>
      </c>
      <c r="C2" s="72"/>
    </row>
    <row r="4" spans="2:10" ht="18">
      <c r="B4" s="81" t="s">
        <v>3</v>
      </c>
      <c r="C4" s="81"/>
      <c r="D4" s="74"/>
      <c r="E4" s="75"/>
      <c r="F4" s="75"/>
      <c r="G4" s="75"/>
      <c r="H4" s="75"/>
      <c r="I4" s="75"/>
      <c r="J4" s="75"/>
    </row>
    <row r="5" spans="2:10" ht="12.75" customHeight="1">
      <c r="B5" s="76"/>
      <c r="C5" s="76"/>
      <c r="D5" s="75"/>
      <c r="E5" s="75"/>
      <c r="F5" s="75"/>
      <c r="G5" s="75"/>
      <c r="H5" s="75"/>
      <c r="I5" s="75"/>
      <c r="J5" s="75"/>
    </row>
    <row r="6" spans="2:10" ht="18.75" customHeight="1">
      <c r="B6" s="19" t="s">
        <v>4</v>
      </c>
      <c r="C6" s="19"/>
      <c r="D6" s="19"/>
      <c r="E6" s="19"/>
      <c r="F6" s="19"/>
      <c r="G6" s="19"/>
      <c r="H6" s="19"/>
      <c r="I6" s="19"/>
      <c r="J6" s="19"/>
    </row>
    <row r="7" spans="2:10">
      <c r="B7" s="23" t="s">
        <v>5</v>
      </c>
      <c r="C7" s="23" t="s">
        <v>27</v>
      </c>
      <c r="D7" s="23" t="s">
        <v>6</v>
      </c>
      <c r="E7" s="23" t="s">
        <v>7</v>
      </c>
      <c r="F7" s="23" t="s">
        <v>8</v>
      </c>
      <c r="G7" s="23" t="s">
        <v>9</v>
      </c>
      <c r="H7" s="23" t="s">
        <v>10</v>
      </c>
      <c r="I7" s="23" t="s">
        <v>11</v>
      </c>
      <c r="J7" s="23" t="s">
        <v>12</v>
      </c>
    </row>
    <row r="8" spans="2:10" ht="39" thickBot="1">
      <c r="B8" s="21" t="s">
        <v>13</v>
      </c>
      <c r="C8" s="21" t="s">
        <v>27</v>
      </c>
      <c r="D8" s="20" t="s">
        <v>14</v>
      </c>
      <c r="E8" s="20" t="s">
        <v>15</v>
      </c>
      <c r="F8" s="20" t="s">
        <v>1</v>
      </c>
      <c r="G8" s="20" t="s">
        <v>16</v>
      </c>
      <c r="H8" s="20" t="s">
        <v>17</v>
      </c>
      <c r="I8" s="20" t="s">
        <v>18</v>
      </c>
      <c r="J8" s="20" t="s">
        <v>19</v>
      </c>
    </row>
    <row r="9" spans="2:10" ht="18.75" customHeight="1">
      <c r="B9" s="22" t="s">
        <v>22</v>
      </c>
      <c r="C9" s="22" t="s">
        <v>293</v>
      </c>
      <c r="D9" s="22" t="s">
        <v>242</v>
      </c>
      <c r="E9" s="22" t="s">
        <v>240</v>
      </c>
      <c r="F9" s="22" t="s">
        <v>20</v>
      </c>
      <c r="G9" s="22"/>
      <c r="H9" s="22" t="s">
        <v>21</v>
      </c>
      <c r="I9" s="22"/>
      <c r="J9" s="22"/>
    </row>
    <row r="10" spans="2:10" ht="18.75" customHeight="1">
      <c r="B10" s="29" t="s">
        <v>22</v>
      </c>
      <c r="C10" s="28" t="s">
        <v>293</v>
      </c>
      <c r="D10" s="29" t="s">
        <v>267</v>
      </c>
      <c r="E10" s="29" t="s">
        <v>295</v>
      </c>
      <c r="F10" s="29" t="s">
        <v>20</v>
      </c>
      <c r="G10" s="29"/>
      <c r="H10" s="29" t="s">
        <v>21</v>
      </c>
      <c r="I10" s="27"/>
      <c r="J10" s="27"/>
    </row>
    <row r="11" spans="2:10" ht="18.75" customHeight="1">
      <c r="B11" s="26" t="s">
        <v>22</v>
      </c>
      <c r="C11" s="26" t="s">
        <v>293</v>
      </c>
      <c r="D11" s="26" t="s">
        <v>269</v>
      </c>
      <c r="E11" s="26" t="s">
        <v>273</v>
      </c>
      <c r="F11" s="26" t="s">
        <v>272</v>
      </c>
      <c r="G11" s="22"/>
      <c r="H11" s="22"/>
      <c r="I11" s="25"/>
      <c r="J11" s="25"/>
    </row>
    <row r="12" spans="2:10" ht="18.75" customHeight="1">
      <c r="B12" s="24" t="s">
        <v>22</v>
      </c>
      <c r="C12" s="24" t="s">
        <v>293</v>
      </c>
      <c r="D12" s="24" t="s">
        <v>270</v>
      </c>
      <c r="E12" s="24" t="s">
        <v>274</v>
      </c>
      <c r="F12" s="24" t="s">
        <v>272</v>
      </c>
      <c r="G12" s="29"/>
      <c r="H12" s="29"/>
      <c r="I12" s="27"/>
      <c r="J12" s="27"/>
    </row>
    <row r="13" spans="2:10" ht="18.75" customHeight="1">
      <c r="B13" s="26" t="s">
        <v>22</v>
      </c>
      <c r="C13" s="26" t="s">
        <v>293</v>
      </c>
      <c r="D13" s="26" t="s">
        <v>271</v>
      </c>
      <c r="E13" s="26" t="s">
        <v>275</v>
      </c>
      <c r="F13" s="26" t="s">
        <v>272</v>
      </c>
      <c r="G13" s="22"/>
      <c r="H13" s="22"/>
      <c r="I13" s="25"/>
      <c r="J13" s="25"/>
    </row>
    <row r="14" spans="2:10" ht="15.75" customHeight="1">
      <c r="B14" s="168"/>
      <c r="C14" s="168"/>
      <c r="D14" s="168"/>
      <c r="E14" s="168"/>
      <c r="F14" s="168"/>
      <c r="G14" s="168"/>
      <c r="H14" s="168"/>
      <c r="I14" s="167"/>
      <c r="J14" s="167"/>
    </row>
    <row r="15" spans="2:10" ht="15.75" customHeight="1" thickBot="1">
      <c r="B15" s="169" t="s">
        <v>22</v>
      </c>
      <c r="C15" s="169" t="s">
        <v>293</v>
      </c>
      <c r="D15" s="169" t="s">
        <v>243</v>
      </c>
      <c r="E15" s="169" t="s">
        <v>241</v>
      </c>
      <c r="F15" s="169" t="s">
        <v>20</v>
      </c>
      <c r="G15" s="169"/>
      <c r="H15" s="169"/>
      <c r="I15" s="169"/>
      <c r="J15" s="169"/>
    </row>
    <row r="19" spans="2:3">
      <c r="B19" s="68"/>
      <c r="C19" s="68"/>
    </row>
    <row r="28" spans="2:3" ht="13.7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1"/>
  <dimension ref="B2:J13"/>
  <sheetViews>
    <sheetView workbookViewId="0">
      <selection activeCell="B6" sqref="B6:J8"/>
    </sheetView>
  </sheetViews>
  <sheetFormatPr defaultRowHeight="12.75"/>
  <cols>
    <col min="1" max="1" width="2.85546875" customWidth="1"/>
    <col min="2" max="2" width="20.85546875" customWidth="1"/>
    <col min="3" max="3" width="14.5703125" customWidth="1"/>
    <col min="4" max="4" width="26.42578125" customWidth="1"/>
    <col min="5" max="5" width="45.7109375" customWidth="1"/>
    <col min="6" max="8" width="11" customWidth="1"/>
    <col min="9" max="9" width="14.140625" customWidth="1"/>
    <col min="10" max="10" width="11" customWidth="1"/>
  </cols>
  <sheetData>
    <row r="2" spans="2:10" ht="15.75" customHeight="1">
      <c r="B2" s="79" t="s">
        <v>23</v>
      </c>
      <c r="C2" s="72"/>
      <c r="D2" s="72"/>
    </row>
    <row r="4" spans="2:10" ht="15.75" customHeight="1">
      <c r="B4" s="81" t="s">
        <v>24</v>
      </c>
      <c r="C4" s="77"/>
      <c r="D4" s="77"/>
      <c r="E4" s="77"/>
      <c r="F4" s="77"/>
      <c r="G4" s="77"/>
      <c r="H4" s="77"/>
      <c r="I4" s="77"/>
      <c r="J4" s="77"/>
    </row>
    <row r="5" spans="2:10">
      <c r="B5" s="76"/>
      <c r="C5" s="76"/>
      <c r="D5" s="77"/>
      <c r="E5" s="77"/>
      <c r="F5" s="77"/>
      <c r="G5" s="77"/>
      <c r="H5" s="77"/>
      <c r="I5" s="77"/>
      <c r="J5" s="77"/>
    </row>
    <row r="6" spans="2:10" ht="18.75" customHeight="1">
      <c r="B6" s="19" t="s">
        <v>25</v>
      </c>
      <c r="C6" s="19"/>
      <c r="D6" s="19"/>
      <c r="E6" s="19"/>
      <c r="F6" s="19"/>
      <c r="G6" s="19"/>
      <c r="H6" s="19"/>
      <c r="I6" s="19"/>
      <c r="J6" s="19"/>
    </row>
    <row r="7" spans="2:10">
      <c r="B7" s="23" t="s">
        <v>26</v>
      </c>
      <c r="C7" s="23" t="s">
        <v>27</v>
      </c>
      <c r="D7" s="23" t="s">
        <v>28</v>
      </c>
      <c r="E7" s="23" t="s">
        <v>29</v>
      </c>
      <c r="F7" s="23" t="s">
        <v>30</v>
      </c>
      <c r="G7" s="23" t="s">
        <v>31</v>
      </c>
      <c r="H7" s="23" t="s">
        <v>32</v>
      </c>
      <c r="I7" s="23" t="s">
        <v>33</v>
      </c>
      <c r="J7" s="23" t="s">
        <v>34</v>
      </c>
    </row>
    <row r="8" spans="2:10" ht="39" thickBot="1">
      <c r="B8" s="20" t="s">
        <v>35</v>
      </c>
      <c r="C8" s="20" t="s">
        <v>36</v>
      </c>
      <c r="D8" s="20" t="s">
        <v>37</v>
      </c>
      <c r="E8" s="20" t="s">
        <v>38</v>
      </c>
      <c r="F8" s="20" t="s">
        <v>39</v>
      </c>
      <c r="G8" s="20" t="s">
        <v>40</v>
      </c>
      <c r="H8" s="20" t="s">
        <v>41</v>
      </c>
      <c r="I8" s="21" t="s">
        <v>42</v>
      </c>
      <c r="J8" s="21" t="s">
        <v>43</v>
      </c>
    </row>
    <row r="9" spans="2:10" ht="18.75" customHeight="1">
      <c r="B9" s="22" t="s">
        <v>44</v>
      </c>
      <c r="C9" s="22" t="s">
        <v>293</v>
      </c>
      <c r="D9" s="22" t="s">
        <v>239</v>
      </c>
      <c r="E9" s="22" t="s">
        <v>225</v>
      </c>
      <c r="F9" s="22" t="s">
        <v>20</v>
      </c>
      <c r="G9" s="22" t="s">
        <v>100</v>
      </c>
      <c r="H9" s="22" t="s">
        <v>21</v>
      </c>
      <c r="I9" s="22"/>
      <c r="J9" s="22" t="s">
        <v>45</v>
      </c>
    </row>
    <row r="10" spans="2:10" ht="18.75" customHeight="1" thickBot="1">
      <c r="B10" s="18" t="s">
        <v>44</v>
      </c>
      <c r="C10" s="18" t="s">
        <v>293</v>
      </c>
      <c r="D10" s="18" t="s">
        <v>268</v>
      </c>
      <c r="E10" s="18" t="s">
        <v>225</v>
      </c>
      <c r="F10" s="18" t="s">
        <v>20</v>
      </c>
      <c r="G10" s="18" t="s">
        <v>100</v>
      </c>
      <c r="H10" s="18" t="s">
        <v>21</v>
      </c>
      <c r="I10" s="18"/>
      <c r="J10" s="18"/>
    </row>
    <row r="11" spans="2:10" ht="15.75" customHeight="1"/>
    <row r="12" spans="2:10" ht="15.75" customHeight="1"/>
    <row r="13" spans="2:10">
      <c r="D13" s="144" t="s">
        <v>111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B2:K18"/>
  <sheetViews>
    <sheetView zoomScaleNormal="100" workbookViewId="0">
      <selection activeCell="B4" sqref="B4:H6"/>
    </sheetView>
  </sheetViews>
  <sheetFormatPr defaultRowHeight="12.75"/>
  <cols>
    <col min="1" max="1" width="2.85546875" customWidth="1"/>
    <col min="2" max="2" width="31.28515625" customWidth="1"/>
    <col min="3" max="3" width="47.85546875" bestFit="1" customWidth="1"/>
    <col min="4" max="4" width="17" customWidth="1"/>
    <col min="5" max="6" width="19.85546875" customWidth="1"/>
    <col min="7" max="7" width="17.140625" customWidth="1"/>
    <col min="8" max="8" width="16.140625" customWidth="1"/>
  </cols>
  <sheetData>
    <row r="2" spans="2:11" ht="18">
      <c r="B2" s="81" t="s">
        <v>46</v>
      </c>
      <c r="C2" s="73"/>
      <c r="E2" s="70"/>
      <c r="F2" s="70"/>
    </row>
    <row r="3" spans="2:11">
      <c r="B3" s="71"/>
      <c r="C3" s="69"/>
      <c r="E3" s="70"/>
      <c r="F3" s="70"/>
    </row>
    <row r="4" spans="2:11" ht="18.75" customHeight="1">
      <c r="B4" s="9"/>
      <c r="C4" s="9"/>
      <c r="D4" s="9"/>
      <c r="E4" s="8" t="s">
        <v>294</v>
      </c>
      <c r="F4" s="8"/>
      <c r="G4" s="7"/>
      <c r="H4" s="7"/>
    </row>
    <row r="5" spans="2:11">
      <c r="B5" s="14" t="s">
        <v>28</v>
      </c>
      <c r="C5" s="13" t="s">
        <v>47</v>
      </c>
      <c r="D5" s="14" t="s">
        <v>48</v>
      </c>
      <c r="E5" s="14" t="s">
        <v>49</v>
      </c>
      <c r="F5" s="14" t="s">
        <v>283</v>
      </c>
      <c r="G5" s="14" t="s">
        <v>50</v>
      </c>
      <c r="H5" s="14" t="s">
        <v>51</v>
      </c>
    </row>
    <row r="6" spans="2:11" ht="26.25" thickBot="1">
      <c r="B6" s="21" t="s">
        <v>52</v>
      </c>
      <c r="C6" s="21" t="s">
        <v>38</v>
      </c>
      <c r="D6" s="21" t="s">
        <v>53</v>
      </c>
      <c r="E6" s="21" t="s">
        <v>54</v>
      </c>
      <c r="F6" s="21" t="s">
        <v>284</v>
      </c>
      <c r="G6" s="21" t="s">
        <v>0</v>
      </c>
      <c r="H6" s="21" t="s">
        <v>55</v>
      </c>
    </row>
    <row r="7" spans="2:11" ht="18.75" customHeight="1">
      <c r="B7" s="12" t="str">
        <f>SEC_Processes!D9</f>
        <v>ELC_FIN_TECH</v>
      </c>
      <c r="C7" s="12"/>
      <c r="D7" s="12" t="s">
        <v>279</v>
      </c>
      <c r="E7" s="12"/>
      <c r="F7" s="11">
        <v>0.24480000000000002</v>
      </c>
      <c r="G7" s="10">
        <v>1</v>
      </c>
      <c r="H7" s="10">
        <v>1</v>
      </c>
      <c r="J7" s="68"/>
      <c r="K7" s="68" t="s">
        <v>282</v>
      </c>
    </row>
    <row r="8" spans="2:11" ht="18.75" customHeight="1">
      <c r="B8" s="12"/>
      <c r="C8" s="12"/>
      <c r="D8" s="12" t="s">
        <v>280</v>
      </c>
      <c r="E8" s="12"/>
      <c r="F8" s="11">
        <v>0.36359999999999998</v>
      </c>
      <c r="G8" s="12"/>
      <c r="H8" s="12"/>
      <c r="J8" s="68"/>
    </row>
    <row r="9" spans="2:11" ht="18.75" customHeight="1">
      <c r="B9" s="12"/>
      <c r="C9" s="12"/>
      <c r="D9" s="12" t="s">
        <v>281</v>
      </c>
      <c r="E9" s="12"/>
      <c r="F9" s="11">
        <v>0.3916</v>
      </c>
      <c r="G9" s="12"/>
      <c r="H9" s="12"/>
      <c r="J9" s="68"/>
    </row>
    <row r="10" spans="2:11" ht="18.75" customHeight="1">
      <c r="B10" s="17"/>
      <c r="C10" s="17"/>
      <c r="D10" s="17"/>
      <c r="E10" s="17" t="str">
        <f>SEC_Comm!D9</f>
        <v>ELC_FIN_CONS</v>
      </c>
      <c r="F10" s="17"/>
      <c r="G10" s="17"/>
      <c r="H10" s="17"/>
    </row>
    <row r="11" spans="2:11" ht="18.75" customHeight="1">
      <c r="B11" s="27" t="str">
        <f>SEC_Processes!D10</f>
        <v>HT_DH_FIN_TECH</v>
      </c>
      <c r="C11" s="27"/>
      <c r="D11" s="16" t="s">
        <v>266</v>
      </c>
      <c r="E11" s="27" t="str">
        <f>SEC_Comm!D10</f>
        <v>HT_DH_OTH_FIN_CONS</v>
      </c>
      <c r="F11" s="27"/>
      <c r="G11" s="15">
        <v>1</v>
      </c>
      <c r="H11" s="15">
        <v>1</v>
      </c>
    </row>
    <row r="12" spans="2:11">
      <c r="B12" s="103"/>
      <c r="C12" s="103"/>
      <c r="D12" s="103"/>
      <c r="E12" s="103"/>
      <c r="F12" s="103"/>
      <c r="G12" s="103"/>
      <c r="H12" s="103"/>
    </row>
    <row r="13" spans="2:11" ht="13.5" thickBot="1">
      <c r="B13" s="105" t="s">
        <v>276</v>
      </c>
      <c r="C13" s="105"/>
      <c r="D13" s="170" t="s">
        <v>265</v>
      </c>
      <c r="E13" s="105" t="str">
        <f>SEC_Comm!D15</f>
        <v>HT_IND_FIN_CONS</v>
      </c>
      <c r="F13" s="105"/>
      <c r="G13" s="171">
        <v>1</v>
      </c>
      <c r="H13" s="171">
        <v>1</v>
      </c>
    </row>
    <row r="18" spans="4:4">
      <c r="D18" s="78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207E-33C4-4180-B722-03CAA0F0816C}">
  <sheetPr codeName="Arkusz3"/>
  <dimension ref="B1:Q75"/>
  <sheetViews>
    <sheetView zoomScaleNormal="100" workbookViewId="0">
      <selection activeCell="C6" sqref="C6"/>
    </sheetView>
  </sheetViews>
  <sheetFormatPr defaultColWidth="9.140625" defaultRowHeight="12.75"/>
  <cols>
    <col min="1" max="1" width="9.140625" style="67"/>
    <col min="2" max="2" width="34.42578125" style="67" customWidth="1"/>
    <col min="3" max="3" width="46.7109375" style="67" customWidth="1"/>
    <col min="4" max="4" width="17.140625" style="67" customWidth="1"/>
    <col min="5" max="15" width="16.140625" style="67" customWidth="1"/>
    <col min="16" max="16384" width="9.140625" style="67"/>
  </cols>
  <sheetData>
    <row r="1" spans="2:15" ht="12.6" customHeight="1">
      <c r="C1" s="67" t="s">
        <v>73</v>
      </c>
      <c r="N1" s="136"/>
      <c r="O1" s="136"/>
    </row>
    <row r="2" spans="2:15" ht="41.45" customHeight="1">
      <c r="D2" s="199"/>
      <c r="E2" s="199"/>
      <c r="N2" s="136"/>
      <c r="O2" s="136"/>
    </row>
    <row r="3" spans="2:15" ht="18.75" customHeight="1">
      <c r="C3" s="2" t="s">
        <v>101</v>
      </c>
      <c r="D3" s="1"/>
      <c r="E3" s="1"/>
      <c r="F3" s="1"/>
      <c r="G3" s="1"/>
      <c r="H3" s="1"/>
      <c r="I3" s="1"/>
      <c r="J3" s="1"/>
      <c r="K3" s="1"/>
      <c r="N3" s="136"/>
      <c r="O3" s="136"/>
    </row>
    <row r="4" spans="2:15">
      <c r="C4" s="3" t="s">
        <v>6</v>
      </c>
      <c r="D4" s="3" t="s">
        <v>27</v>
      </c>
      <c r="E4" s="3">
        <v>2020</v>
      </c>
      <c r="F4" s="3">
        <v>2025</v>
      </c>
      <c r="G4" s="3">
        <v>2030</v>
      </c>
      <c r="H4" s="3">
        <v>2035</v>
      </c>
      <c r="I4" s="3">
        <v>2040</v>
      </c>
      <c r="J4" s="3">
        <v>2045</v>
      </c>
      <c r="K4" s="3">
        <v>2050</v>
      </c>
      <c r="N4" s="136"/>
      <c r="O4" s="136"/>
    </row>
    <row r="5" spans="2:15" ht="13.5" thickBot="1">
      <c r="C5" s="4" t="s">
        <v>276</v>
      </c>
      <c r="D5" s="4"/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  <c r="N5" s="136"/>
      <c r="O5" s="136"/>
    </row>
    <row r="6" spans="2:15" ht="18.75" customHeight="1">
      <c r="C6" s="25" t="str">
        <f>SEC_Comm!D10</f>
        <v>HT_DH_OTH_FIN_CONS</v>
      </c>
      <c r="D6" s="6" t="s">
        <v>293</v>
      </c>
      <c r="E6" s="5">
        <f>E19+E21-E31-E33</f>
        <v>3.6969443999998797E-2</v>
      </c>
      <c r="F6" s="5">
        <f t="shared" ref="F6:K6" si="0">F19+F21-F31-F33</f>
        <v>3.6969443999998797E-2</v>
      </c>
      <c r="G6" s="5">
        <f t="shared" si="0"/>
        <v>3.6969443999998797E-2</v>
      </c>
      <c r="H6" s="5">
        <f t="shared" si="0"/>
        <v>3.6969443999998797E-2</v>
      </c>
      <c r="I6" s="5">
        <f t="shared" si="0"/>
        <v>3.6969443999998797E-2</v>
      </c>
      <c r="J6" s="5">
        <f t="shared" si="0"/>
        <v>3.6969443999998797E-2</v>
      </c>
      <c r="K6" s="5">
        <f t="shared" si="0"/>
        <v>3.6969443999998797E-2</v>
      </c>
      <c r="N6" s="136"/>
      <c r="O6" s="136"/>
    </row>
    <row r="7" spans="2:15">
      <c r="C7" s="103"/>
      <c r="D7" s="107"/>
      <c r="E7" s="142"/>
      <c r="F7" s="142"/>
      <c r="G7" s="142"/>
      <c r="H7" s="142"/>
      <c r="I7" s="142"/>
      <c r="J7" s="142"/>
      <c r="K7" s="142"/>
      <c r="N7" s="136"/>
      <c r="O7" s="136"/>
    </row>
    <row r="8" spans="2:15">
      <c r="C8" s="103"/>
      <c r="D8" s="107"/>
      <c r="E8" s="142"/>
      <c r="F8" s="142"/>
      <c r="G8" s="142"/>
      <c r="H8" s="142"/>
      <c r="I8" s="142"/>
      <c r="J8" s="142"/>
      <c r="K8" s="142"/>
      <c r="N8" s="136"/>
      <c r="O8" s="136"/>
    </row>
    <row r="9" spans="2:15" ht="13.5" thickBot="1">
      <c r="C9" s="105" t="str">
        <f>SEC_Comm!D15</f>
        <v>HT_IND_FIN_CONS</v>
      </c>
      <c r="D9" s="105"/>
      <c r="E9" s="105">
        <f>E17-E29</f>
        <v>1.6683789999999945</v>
      </c>
      <c r="F9" s="105">
        <f t="shared" ref="F9:K9" si="1">F17-F29</f>
        <v>1.6683789999999945</v>
      </c>
      <c r="G9" s="105">
        <f t="shared" si="1"/>
        <v>1.6683789999999945</v>
      </c>
      <c r="H9" s="105">
        <f t="shared" si="1"/>
        <v>1.6683789999999945</v>
      </c>
      <c r="I9" s="105">
        <f t="shared" si="1"/>
        <v>1.6683789999999945</v>
      </c>
      <c r="J9" s="105">
        <f t="shared" si="1"/>
        <v>1.6683789999999945</v>
      </c>
      <c r="K9" s="105">
        <f t="shared" si="1"/>
        <v>1.6683789999999945</v>
      </c>
      <c r="N9" s="136"/>
      <c r="O9" s="136"/>
    </row>
    <row r="10" spans="2:15">
      <c r="N10" s="136"/>
      <c r="O10" s="136"/>
    </row>
    <row r="11" spans="2:15">
      <c r="C11" s="102" t="s">
        <v>286</v>
      </c>
      <c r="N11" s="136"/>
      <c r="O11" s="136"/>
    </row>
    <row r="12" spans="2:15">
      <c r="C12" s="67" t="s">
        <v>74</v>
      </c>
      <c r="E12" s="85">
        <f>E6+E9+E20</f>
        <v>154.20904407292164</v>
      </c>
      <c r="F12" s="85">
        <f t="shared" ref="F12:K12" si="2">F6+F9+F20</f>
        <v>154.20904407292164</v>
      </c>
      <c r="G12" s="85">
        <f t="shared" si="2"/>
        <v>154.20904407292164</v>
      </c>
      <c r="H12" s="85">
        <f t="shared" si="2"/>
        <v>154.20904407292164</v>
      </c>
      <c r="I12" s="85">
        <f t="shared" si="2"/>
        <v>154.20904407292164</v>
      </c>
      <c r="J12" s="85">
        <f t="shared" si="2"/>
        <v>154.20904407292164</v>
      </c>
      <c r="K12" s="85">
        <f t="shared" si="2"/>
        <v>154.20904407292164</v>
      </c>
      <c r="N12" s="136"/>
      <c r="O12" s="136"/>
    </row>
    <row r="13" spans="2:15">
      <c r="N13" s="136"/>
      <c r="O13" s="136"/>
    </row>
    <row r="14" spans="2:15">
      <c r="B14" s="67" t="s">
        <v>57</v>
      </c>
      <c r="C14" s="67" t="s">
        <v>58</v>
      </c>
      <c r="E14" s="67">
        <v>5748</v>
      </c>
      <c r="F14" s="67">
        <v>5436</v>
      </c>
      <c r="G14" s="67">
        <v>5090</v>
      </c>
      <c r="H14" s="67">
        <v>5080</v>
      </c>
      <c r="I14" s="67">
        <v>5132</v>
      </c>
      <c r="J14" s="67">
        <v>5101</v>
      </c>
      <c r="K14" s="67">
        <v>5101</v>
      </c>
      <c r="N14" s="136"/>
      <c r="O14" s="136"/>
    </row>
    <row r="15" spans="2:15">
      <c r="B15" s="67" t="s">
        <v>75</v>
      </c>
      <c r="E15" s="85">
        <v>240.65726400000003</v>
      </c>
      <c r="F15" s="85">
        <v>227.594448</v>
      </c>
      <c r="G15" s="85">
        <v>213.10812000000001</v>
      </c>
      <c r="H15" s="85">
        <v>212.68943999999999</v>
      </c>
      <c r="I15" s="85">
        <v>214.86657600000001</v>
      </c>
      <c r="J15" s="85">
        <v>213.568668</v>
      </c>
      <c r="K15" s="85">
        <v>213.568668</v>
      </c>
      <c r="N15" s="136"/>
      <c r="O15" s="136"/>
    </row>
    <row r="16" spans="2:15" ht="13.5" thickBot="1">
      <c r="N16" s="136"/>
      <c r="O16" s="136"/>
    </row>
    <row r="17" spans="2:17">
      <c r="B17" s="115" t="s">
        <v>207</v>
      </c>
      <c r="C17" s="114"/>
      <c r="D17" s="114"/>
      <c r="E17" s="114">
        <f>GUS_2020_HT_ELC!B106</f>
        <v>35.797139999999999</v>
      </c>
      <c r="F17" s="114">
        <f>E17</f>
        <v>35.797139999999999</v>
      </c>
      <c r="G17" s="114">
        <f t="shared" ref="G17:K17" si="3">F17</f>
        <v>35.797139999999999</v>
      </c>
      <c r="H17" s="114">
        <f t="shared" si="3"/>
        <v>35.797139999999999</v>
      </c>
      <c r="I17" s="114">
        <f t="shared" si="3"/>
        <v>35.797139999999999</v>
      </c>
      <c r="J17" s="114">
        <f t="shared" si="3"/>
        <v>35.797139999999999</v>
      </c>
      <c r="K17" s="114">
        <f t="shared" si="3"/>
        <v>35.797139999999999</v>
      </c>
      <c r="N17" s="136"/>
      <c r="O17" s="136"/>
    </row>
    <row r="18" spans="2:17">
      <c r="B18" s="113" t="s">
        <v>208</v>
      </c>
      <c r="K18" s="112"/>
      <c r="N18" s="136"/>
      <c r="O18" s="136"/>
    </row>
    <row r="19" spans="2:17">
      <c r="B19" s="113" t="s">
        <v>209</v>
      </c>
      <c r="E19" s="67">
        <f>GUS_2020_HT_ELC!B128</f>
        <v>45.719856</v>
      </c>
      <c r="F19" s="67">
        <f>E19</f>
        <v>45.719856</v>
      </c>
      <c r="G19" s="67">
        <f t="shared" ref="G19:K19" si="4">F19</f>
        <v>45.719856</v>
      </c>
      <c r="H19" s="67">
        <f t="shared" si="4"/>
        <v>45.719856</v>
      </c>
      <c r="I19" s="67">
        <f t="shared" si="4"/>
        <v>45.719856</v>
      </c>
      <c r="J19" s="67">
        <f t="shared" si="4"/>
        <v>45.719856</v>
      </c>
      <c r="K19" s="67">
        <f t="shared" si="4"/>
        <v>45.719856</v>
      </c>
      <c r="N19" s="136"/>
      <c r="O19" s="136"/>
    </row>
    <row r="20" spans="2:17">
      <c r="B20" s="113" t="s">
        <v>211</v>
      </c>
      <c r="E20" s="143">
        <v>152.50369562892166</v>
      </c>
      <c r="F20" s="143">
        <f>E20</f>
        <v>152.50369562892166</v>
      </c>
      <c r="G20" s="143">
        <f t="shared" ref="G20:K20" si="5">F20</f>
        <v>152.50369562892166</v>
      </c>
      <c r="H20" s="143">
        <f t="shared" si="5"/>
        <v>152.50369562892166</v>
      </c>
      <c r="I20" s="143">
        <f t="shared" si="5"/>
        <v>152.50369562892166</v>
      </c>
      <c r="J20" s="143">
        <f t="shared" si="5"/>
        <v>152.50369562892166</v>
      </c>
      <c r="K20" s="143">
        <f t="shared" si="5"/>
        <v>152.50369562892166</v>
      </c>
      <c r="N20" s="136"/>
      <c r="O20" s="136"/>
    </row>
    <row r="21" spans="2:17">
      <c r="B21" s="113" t="s">
        <v>212</v>
      </c>
      <c r="E21" s="67">
        <f>GUS_2020_HT_ELC!B130</f>
        <v>0.79549200000000009</v>
      </c>
      <c r="F21" s="67">
        <f>E21</f>
        <v>0.79549200000000009</v>
      </c>
      <c r="G21" s="67">
        <f t="shared" ref="G21:K21" si="6">F21</f>
        <v>0.79549200000000009</v>
      </c>
      <c r="H21" s="67">
        <f t="shared" si="6"/>
        <v>0.79549200000000009</v>
      </c>
      <c r="I21" s="67">
        <f t="shared" si="6"/>
        <v>0.79549200000000009</v>
      </c>
      <c r="J21" s="67">
        <f t="shared" si="6"/>
        <v>0.79549200000000009</v>
      </c>
      <c r="K21" s="67">
        <f t="shared" si="6"/>
        <v>0.79549200000000009</v>
      </c>
      <c r="N21" s="136"/>
      <c r="O21" s="136"/>
    </row>
    <row r="22" spans="2:17" ht="13.5" thickBot="1">
      <c r="B22" s="111" t="s">
        <v>213</v>
      </c>
      <c r="C22" s="110"/>
      <c r="D22" s="110"/>
      <c r="E22" s="110">
        <v>0</v>
      </c>
      <c r="F22" s="110">
        <v>1</v>
      </c>
      <c r="G22" s="110">
        <v>2</v>
      </c>
      <c r="H22" s="110">
        <v>3</v>
      </c>
      <c r="I22" s="110">
        <v>4</v>
      </c>
      <c r="J22" s="110">
        <v>5</v>
      </c>
      <c r="K22" s="110">
        <v>6</v>
      </c>
      <c r="N22" s="136"/>
      <c r="O22" s="136"/>
    </row>
    <row r="23" spans="2:17">
      <c r="N23" s="136"/>
      <c r="O23" s="136"/>
    </row>
    <row r="24" spans="2:17" ht="12.75" customHeight="1">
      <c r="B24" s="138" t="s">
        <v>224</v>
      </c>
      <c r="L24" s="67">
        <f>E12/L25</f>
        <v>0.85222502246092446</v>
      </c>
      <c r="N24" s="136" t="s">
        <v>226</v>
      </c>
      <c r="O24" s="136" t="s">
        <v>227</v>
      </c>
    </row>
    <row r="25" spans="2:17">
      <c r="B25" s="138" t="s">
        <v>214</v>
      </c>
      <c r="C25" s="200" t="s">
        <v>222</v>
      </c>
      <c r="D25" s="200"/>
      <c r="L25" s="85">
        <f>E12+E40</f>
        <v>180.94874007292165</v>
      </c>
      <c r="N25" s="136" t="s">
        <v>228</v>
      </c>
      <c r="O25" s="136" t="s">
        <v>229</v>
      </c>
      <c r="P25" s="67" t="s">
        <v>230</v>
      </c>
      <c r="Q25" s="67" t="s">
        <v>231</v>
      </c>
    </row>
    <row r="26" spans="2:17">
      <c r="B26" s="137" t="s">
        <v>217</v>
      </c>
      <c r="C26" s="200"/>
      <c r="D26" s="200"/>
      <c r="E26" s="67">
        <v>58.266514285714365</v>
      </c>
      <c r="F26" s="67">
        <v>58.266514285714365</v>
      </c>
      <c r="G26" s="67">
        <v>58.266514285714365</v>
      </c>
      <c r="H26" s="67">
        <v>58.266514285714365</v>
      </c>
      <c r="I26" s="67">
        <v>58.266514285714365</v>
      </c>
      <c r="J26" s="67">
        <v>58.266514285714365</v>
      </c>
      <c r="K26" s="67">
        <v>58.266514285714365</v>
      </c>
      <c r="N26" s="136" t="s">
        <v>232</v>
      </c>
      <c r="O26" s="136" t="s">
        <v>233</v>
      </c>
      <c r="P26" s="67" t="s">
        <v>234</v>
      </c>
      <c r="Q26" s="67">
        <v>40.404751389963799</v>
      </c>
    </row>
    <row r="27" spans="2:17">
      <c r="B27" s="137" t="s">
        <v>218</v>
      </c>
      <c r="C27" s="200"/>
      <c r="D27" s="200"/>
      <c r="E27" s="67">
        <v>107.362197350039</v>
      </c>
      <c r="F27" s="67">
        <v>107.362197350039</v>
      </c>
      <c r="G27" s="67">
        <v>107.362197350039</v>
      </c>
      <c r="H27" s="67">
        <v>107.362197350039</v>
      </c>
      <c r="I27" s="67">
        <v>107.362197350039</v>
      </c>
      <c r="J27" s="67">
        <v>107.362197350039</v>
      </c>
      <c r="K27" s="67">
        <v>107.362197350039</v>
      </c>
      <c r="N27" s="136" t="s">
        <v>232</v>
      </c>
      <c r="O27" s="136" t="s">
        <v>235</v>
      </c>
      <c r="P27" s="67" t="s">
        <v>236</v>
      </c>
      <c r="Q27" s="67">
        <v>169.448550682768</v>
      </c>
    </row>
    <row r="28" spans="2:17">
      <c r="B28" s="139" t="s">
        <v>219</v>
      </c>
      <c r="C28" s="200"/>
      <c r="D28" s="200"/>
      <c r="N28" s="136" t="s">
        <v>237</v>
      </c>
      <c r="O28" s="136" t="s">
        <v>233</v>
      </c>
      <c r="P28" s="67" t="s">
        <v>99</v>
      </c>
      <c r="Q28" s="67">
        <v>36.3642762509674</v>
      </c>
    </row>
    <row r="29" spans="2:17">
      <c r="B29" s="137" t="s">
        <v>249</v>
      </c>
      <c r="C29" s="200"/>
      <c r="D29" s="200"/>
      <c r="E29" s="67">
        <v>34.128761000000004</v>
      </c>
      <c r="F29" s="67">
        <v>34.128761000000004</v>
      </c>
      <c r="G29" s="67">
        <v>34.128761000000004</v>
      </c>
      <c r="H29" s="67">
        <v>34.128761000000004</v>
      </c>
      <c r="I29" s="67">
        <v>34.128761000000004</v>
      </c>
      <c r="J29" s="67">
        <v>34.128761000000004</v>
      </c>
      <c r="K29" s="67">
        <v>34.128761000000004</v>
      </c>
      <c r="N29" s="136" t="s">
        <v>237</v>
      </c>
      <c r="O29" s="136" t="s">
        <v>235</v>
      </c>
      <c r="P29" s="67" t="s">
        <v>238</v>
      </c>
      <c r="Q29" s="67">
        <v>152.50369561449099</v>
      </c>
    </row>
    <row r="30" spans="2:17">
      <c r="B30" s="154" t="s">
        <v>260</v>
      </c>
      <c r="C30" s="200"/>
      <c r="D30" s="200"/>
      <c r="N30" s="136"/>
      <c r="O30" s="136"/>
    </row>
    <row r="31" spans="2:17">
      <c r="B31" s="153" t="s">
        <v>261</v>
      </c>
      <c r="C31" s="66"/>
      <c r="D31" s="66"/>
      <c r="E31" s="67">
        <v>45.703360008000004</v>
      </c>
      <c r="F31" s="67">
        <v>45.703360008000004</v>
      </c>
      <c r="G31" s="67">
        <v>45.703360008000004</v>
      </c>
      <c r="H31" s="67">
        <v>45.703360008000004</v>
      </c>
      <c r="I31" s="67">
        <v>45.703360008000004</v>
      </c>
      <c r="J31" s="67">
        <v>45.703360008000004</v>
      </c>
      <c r="K31" s="67">
        <v>45.703360008000004</v>
      </c>
      <c r="N31" s="136"/>
      <c r="O31" s="136"/>
    </row>
    <row r="32" spans="2:17">
      <c r="B32" s="154" t="s">
        <v>262</v>
      </c>
      <c r="C32" s="66"/>
      <c r="D32" s="66"/>
      <c r="N32" s="136"/>
      <c r="O32" s="136"/>
    </row>
    <row r="33" spans="2:15">
      <c r="B33" s="153" t="s">
        <v>261</v>
      </c>
      <c r="C33" s="66"/>
      <c r="D33" s="66"/>
      <c r="E33" s="67">
        <v>0.77501854800000003</v>
      </c>
      <c r="F33" s="67">
        <v>0.77501854800000003</v>
      </c>
      <c r="G33" s="67">
        <v>0.77501854800000003</v>
      </c>
      <c r="H33" s="67">
        <v>0.77501854800000003</v>
      </c>
      <c r="I33" s="67">
        <v>0.77501854800000003</v>
      </c>
      <c r="J33" s="67">
        <v>0.77501854800000003</v>
      </c>
      <c r="K33" s="67">
        <v>0.77501854800000003</v>
      </c>
      <c r="N33" s="136"/>
      <c r="O33" s="136"/>
    </row>
    <row r="34" spans="2:15" ht="13.5" thickBot="1">
      <c r="B34" s="155" t="s">
        <v>247</v>
      </c>
      <c r="C34" s="155"/>
      <c r="D34" s="155"/>
      <c r="E34" s="155"/>
      <c r="F34" s="155"/>
      <c r="G34" s="155"/>
      <c r="H34" s="155"/>
      <c r="I34" s="155"/>
      <c r="J34" s="155"/>
      <c r="K34" s="155"/>
      <c r="N34" s="136"/>
      <c r="O34" s="136"/>
    </row>
    <row r="35" spans="2:15">
      <c r="B35" s="137"/>
      <c r="E35" s="67">
        <f>SUM(E26:E34)</f>
        <v>246.23585119175334</v>
      </c>
      <c r="F35" s="66"/>
      <c r="G35" s="66"/>
      <c r="N35" s="136"/>
      <c r="O35" s="136"/>
    </row>
    <row r="36" spans="2:15">
      <c r="N36" s="136"/>
      <c r="O36" s="136"/>
    </row>
    <row r="37" spans="2:15">
      <c r="B37" s="67" t="s">
        <v>76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N37" s="136"/>
      <c r="O37" s="136"/>
    </row>
    <row r="38" spans="2:15">
      <c r="B38" s="67" t="s">
        <v>77</v>
      </c>
      <c r="E38" s="141">
        <f>E9+E19+E20+E21</f>
        <v>200.68742262892167</v>
      </c>
      <c r="F38" s="141">
        <f t="shared" ref="F38:K38" si="7">F9+F19+F20+F21</f>
        <v>200.68742262892167</v>
      </c>
      <c r="G38" s="141">
        <f t="shared" si="7"/>
        <v>200.68742262892167</v>
      </c>
      <c r="H38" s="141">
        <f t="shared" si="7"/>
        <v>200.68742262892167</v>
      </c>
      <c r="I38" s="141">
        <f t="shared" si="7"/>
        <v>200.68742262892167</v>
      </c>
      <c r="J38" s="141">
        <f t="shared" si="7"/>
        <v>200.68742262892167</v>
      </c>
      <c r="K38" s="141">
        <f t="shared" si="7"/>
        <v>200.68742262892167</v>
      </c>
      <c r="N38" s="136"/>
      <c r="O38" s="136"/>
    </row>
    <row r="39" spans="2:15">
      <c r="B39" s="67" t="s">
        <v>78</v>
      </c>
      <c r="E39" s="67">
        <v>21.5</v>
      </c>
      <c r="F39" s="67">
        <v>21.5</v>
      </c>
      <c r="G39" s="67">
        <v>21.5</v>
      </c>
      <c r="H39" s="67">
        <v>21.5</v>
      </c>
      <c r="I39" s="67">
        <v>21.5</v>
      </c>
      <c r="J39" s="67">
        <v>21.5</v>
      </c>
      <c r="K39" s="67">
        <v>21.5</v>
      </c>
      <c r="N39" s="136"/>
      <c r="O39" s="136"/>
    </row>
    <row r="40" spans="2:15">
      <c r="B40" s="67" t="s">
        <v>79</v>
      </c>
      <c r="E40" s="86">
        <v>26.739696000000009</v>
      </c>
      <c r="F40" s="86">
        <v>25.288272000000006</v>
      </c>
      <c r="G40" s="86">
        <v>23.678679999999986</v>
      </c>
      <c r="H40" s="86">
        <v>23.632159999999999</v>
      </c>
      <c r="I40" s="86">
        <v>23.874064000000004</v>
      </c>
      <c r="J40" s="86">
        <v>23.729851999999994</v>
      </c>
      <c r="K40" s="86">
        <v>23.729851999999994</v>
      </c>
      <c r="N40" s="136"/>
      <c r="O40" s="136"/>
    </row>
    <row r="41" spans="2:15">
      <c r="B41" s="67" t="s">
        <v>80</v>
      </c>
      <c r="E41" s="85">
        <v>288.89696000000004</v>
      </c>
      <c r="F41" s="85">
        <v>274.38272000000001</v>
      </c>
      <c r="G41" s="85">
        <v>258.28679999999997</v>
      </c>
      <c r="H41" s="85">
        <v>257.82159999999999</v>
      </c>
      <c r="I41" s="85">
        <v>260.24063999999998</v>
      </c>
      <c r="J41" s="85">
        <v>258.79852</v>
      </c>
      <c r="K41" s="85">
        <v>258.79852</v>
      </c>
      <c r="N41" s="136"/>
      <c r="O41" s="136"/>
    </row>
    <row r="42" spans="2:15">
      <c r="B42" s="67" t="s">
        <v>63</v>
      </c>
      <c r="E42" s="67">
        <v>7.8</v>
      </c>
      <c r="F42" s="67">
        <v>7.8</v>
      </c>
      <c r="G42" s="67">
        <v>7.8</v>
      </c>
      <c r="H42" s="67">
        <v>7.8</v>
      </c>
      <c r="I42" s="67">
        <v>7.8</v>
      </c>
      <c r="J42" s="67">
        <v>7.8</v>
      </c>
      <c r="K42" s="67">
        <v>7.8</v>
      </c>
    </row>
    <row r="43" spans="2:15">
      <c r="B43" s="67" t="s">
        <v>81</v>
      </c>
      <c r="E43" s="67">
        <v>296.69696000000005</v>
      </c>
      <c r="F43" s="67">
        <v>282.18272000000002</v>
      </c>
      <c r="G43" s="67">
        <v>266.08679999999998</v>
      </c>
      <c r="H43" s="67">
        <v>265.6216</v>
      </c>
      <c r="I43" s="67">
        <v>268.04064</v>
      </c>
      <c r="J43" s="67">
        <v>266.59852000000001</v>
      </c>
      <c r="K43" s="67">
        <v>266.59852000000001</v>
      </c>
    </row>
    <row r="44" spans="2:15">
      <c r="B44" s="67" t="s">
        <v>65</v>
      </c>
      <c r="C44" s="67" t="s">
        <v>58</v>
      </c>
      <c r="E44" s="67">
        <v>6721</v>
      </c>
      <c r="F44" s="67">
        <v>6626</v>
      </c>
      <c r="G44" s="67">
        <v>6204</v>
      </c>
      <c r="H44" s="67">
        <v>6153</v>
      </c>
      <c r="I44" s="67">
        <v>6204</v>
      </c>
      <c r="J44" s="67">
        <v>6187</v>
      </c>
      <c r="K44" s="67">
        <v>6187</v>
      </c>
    </row>
    <row r="45" spans="2:15">
      <c r="C45" s="67" t="s">
        <v>20</v>
      </c>
      <c r="E45" s="67">
        <v>281.39482800000002</v>
      </c>
      <c r="F45" s="67">
        <v>277.41736800000001</v>
      </c>
      <c r="G45" s="67">
        <v>259.74907200000001</v>
      </c>
      <c r="H45" s="67">
        <v>257.61380400000002</v>
      </c>
      <c r="I45" s="67">
        <v>259.74907200000001</v>
      </c>
      <c r="J45" s="67">
        <v>259.03731600000003</v>
      </c>
      <c r="K45" s="67">
        <v>259.03731600000003</v>
      </c>
    </row>
    <row r="46" spans="2:15">
      <c r="B46" s="67" t="s">
        <v>67</v>
      </c>
      <c r="E46" s="67">
        <v>0.8552298765064722</v>
      </c>
      <c r="F46" s="67">
        <v>0.82040446725022642</v>
      </c>
      <c r="G46" s="67">
        <v>0.82043842682140555</v>
      </c>
      <c r="H46" s="67">
        <v>0.82561352185925563</v>
      </c>
      <c r="I46" s="67">
        <v>0.82720825274016763</v>
      </c>
      <c r="J46" s="67">
        <v>0.82447066429610472</v>
      </c>
      <c r="K46" s="67">
        <v>0.82447066429610472</v>
      </c>
    </row>
    <row r="47" spans="2:15">
      <c r="B47" s="67" t="s">
        <v>68</v>
      </c>
      <c r="C47" s="67" t="s">
        <v>20</v>
      </c>
      <c r="E47" s="67">
        <v>15.302132000000029</v>
      </c>
      <c r="F47" s="67">
        <v>4.7653520000000071</v>
      </c>
      <c r="G47" s="67">
        <v>6.3377279999999701</v>
      </c>
      <c r="H47" s="67">
        <v>8.0077959999999848</v>
      </c>
      <c r="I47" s="67">
        <v>8.2915679999999838</v>
      </c>
      <c r="J47" s="67">
        <v>7.5612039999999752</v>
      </c>
      <c r="K47" s="67">
        <v>7.5612039999999752</v>
      </c>
    </row>
    <row r="51" spans="2:11">
      <c r="B51" s="141" t="s">
        <v>77</v>
      </c>
      <c r="C51" s="141"/>
      <c r="D51" s="141"/>
      <c r="E51" s="141">
        <v>240.65726400000003</v>
      </c>
      <c r="F51" s="141">
        <v>227.594448</v>
      </c>
      <c r="G51" s="141">
        <v>213.10812000000001</v>
      </c>
      <c r="H51" s="141">
        <v>212.68943999999999</v>
      </c>
      <c r="I51" s="141">
        <v>214.86657600000001</v>
      </c>
      <c r="J51" s="141">
        <v>213.568668</v>
      </c>
      <c r="K51" s="141">
        <v>213.568668</v>
      </c>
    </row>
    <row r="53" spans="2:11">
      <c r="E53" s="67">
        <f>E6/0.9</f>
        <v>4.1077159999998662E-2</v>
      </c>
    </row>
    <row r="54" spans="2:11">
      <c r="E54" s="67">
        <v>175</v>
      </c>
    </row>
    <row r="55" spans="2:11">
      <c r="E55" s="67">
        <v>96</v>
      </c>
    </row>
    <row r="56" spans="2:11">
      <c r="E56" s="67">
        <f>E53*0.05</f>
        <v>2.0538579999999332E-3</v>
      </c>
    </row>
    <row r="62" spans="2:11">
      <c r="C62" t="s">
        <v>82</v>
      </c>
      <c r="D62" t="s">
        <v>83</v>
      </c>
      <c r="E62"/>
      <c r="F62"/>
      <c r="G62" s="87"/>
    </row>
    <row r="63" spans="2:11" ht="30">
      <c r="C63" s="88" t="s">
        <v>84</v>
      </c>
      <c r="D63" s="88" t="s">
        <v>85</v>
      </c>
      <c r="E63" s="88" t="s">
        <v>86</v>
      </c>
      <c r="F63" s="88" t="s">
        <v>87</v>
      </c>
      <c r="G63" s="88" t="s">
        <v>88</v>
      </c>
    </row>
    <row r="64" spans="2:11" ht="15">
      <c r="C64" s="89" t="s">
        <v>89</v>
      </c>
      <c r="D64" s="90">
        <v>2130158.63</v>
      </c>
      <c r="E64" s="90">
        <v>101753602.67399999</v>
      </c>
      <c r="F64" s="90">
        <v>119223997.80400003</v>
      </c>
      <c r="G64" s="91">
        <v>13203443.220000001</v>
      </c>
    </row>
    <row r="65" spans="3:7" ht="15">
      <c r="C65" s="89" t="s">
        <v>90</v>
      </c>
      <c r="D65" s="90">
        <v>112952580.9941203</v>
      </c>
      <c r="E65" s="90">
        <v>41009555.163999997</v>
      </c>
      <c r="F65" s="90">
        <v>25205872.409999996</v>
      </c>
      <c r="G65" s="91">
        <v>1336911.25</v>
      </c>
    </row>
    <row r="66" spans="3:7" ht="15">
      <c r="C66" s="89" t="s">
        <v>91</v>
      </c>
      <c r="D66" s="92">
        <v>1437234.2819999999</v>
      </c>
      <c r="E66" s="93">
        <v>10219132.254899999</v>
      </c>
      <c r="F66" s="90">
        <v>107173640.40700004</v>
      </c>
      <c r="G66" s="91">
        <v>6381919.9279999994</v>
      </c>
    </row>
    <row r="67" spans="3:7" ht="15">
      <c r="C67" s="89" t="s">
        <v>92</v>
      </c>
      <c r="D67" s="92">
        <v>68420896.517930031</v>
      </c>
      <c r="E67" s="93">
        <v>3478493.4899999993</v>
      </c>
      <c r="F67" s="90">
        <v>22647456.009600006</v>
      </c>
      <c r="G67" s="91">
        <v>620461.50100000005</v>
      </c>
    </row>
    <row r="68" spans="3:7" ht="15">
      <c r="C68" s="89" t="s">
        <v>93</v>
      </c>
      <c r="D68" s="94">
        <v>39361.32</v>
      </c>
      <c r="E68" s="95">
        <v>21373570.585000001</v>
      </c>
      <c r="F68" s="90">
        <v>7787420.501799996</v>
      </c>
      <c r="G68" s="91">
        <v>4034879.6360000004</v>
      </c>
    </row>
    <row r="69" spans="3:7" ht="15">
      <c r="C69" s="89" t="s">
        <v>94</v>
      </c>
      <c r="D69" s="94">
        <v>6150675.2839739975</v>
      </c>
      <c r="E69" s="95">
        <v>14057582.499029601</v>
      </c>
      <c r="F69" s="90">
        <v>1787919.0814999994</v>
      </c>
      <c r="G69" s="91">
        <v>391756.69400000002</v>
      </c>
    </row>
    <row r="70" spans="3:7" ht="15">
      <c r="C70" s="89" t="s">
        <v>95</v>
      </c>
      <c r="D70" s="90">
        <v>67822399.073011905</v>
      </c>
      <c r="E70" s="90">
        <v>8274566.6400001002</v>
      </c>
      <c r="F70" s="90">
        <v>101965596.81150003</v>
      </c>
      <c r="G70" s="91">
        <v>4714899.1999999993</v>
      </c>
    </row>
    <row r="71" spans="3:7">
      <c r="C71"/>
      <c r="D71"/>
      <c r="E71"/>
      <c r="F71"/>
      <c r="G71" s="87"/>
    </row>
    <row r="72" spans="3:7">
      <c r="C72"/>
      <c r="D72"/>
      <c r="E72"/>
      <c r="F72"/>
      <c r="G72" s="87"/>
    </row>
    <row r="73" spans="3:7">
      <c r="C73"/>
      <c r="D73"/>
      <c r="E73" s="96" t="s">
        <v>96</v>
      </c>
      <c r="F73" s="97">
        <f>(E68+E69+D68+D69)/1000000</f>
        <v>41.621189688003597</v>
      </c>
      <c r="G73" s="87"/>
    </row>
    <row r="74" spans="3:7">
      <c r="C74"/>
      <c r="D74"/>
      <c r="E74" s="98" t="s">
        <v>97</v>
      </c>
      <c r="F74" s="99">
        <f>(E66+E67)/1000000</f>
        <v>13.6976257449</v>
      </c>
      <c r="G74" s="87"/>
    </row>
    <row r="75" spans="3:7">
      <c r="C75"/>
      <c r="D75"/>
      <c r="E75" s="100" t="s">
        <v>98</v>
      </c>
      <c r="F75" s="101">
        <f>(D68+D69)/1000000</f>
        <v>6.190036603973998</v>
      </c>
      <c r="G75" s="87"/>
    </row>
  </sheetData>
  <mergeCells count="2">
    <mergeCell ref="D2:E2"/>
    <mergeCell ref="C25:D30"/>
  </mergeCells>
  <pageMargins left="0.75" right="0.75" top="1" bottom="1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616C-A686-4CF8-9461-74016FCB8482}">
  <sheetPr codeName="Arkusz4"/>
  <dimension ref="B1:M66"/>
  <sheetViews>
    <sheetView zoomScale="115" zoomScaleNormal="115" workbookViewId="0">
      <selection activeCell="E14" sqref="E14"/>
    </sheetView>
  </sheetViews>
  <sheetFormatPr defaultColWidth="9.140625" defaultRowHeight="12.75"/>
  <cols>
    <col min="1" max="1" width="20.5703125" style="80" customWidth="1"/>
    <col min="2" max="2" width="29.140625" style="80" customWidth="1"/>
    <col min="3" max="3" width="17.140625" style="80" customWidth="1"/>
    <col min="4" max="13" width="16.140625" style="80" customWidth="1"/>
    <col min="14" max="16384" width="9.140625" style="80"/>
  </cols>
  <sheetData>
    <row r="1" spans="2:13" ht="13.5" thickBot="1">
      <c r="B1" s="80" t="s">
        <v>56</v>
      </c>
      <c r="E1" s="104">
        <f>(E47-E45+E46)*3.6-E40</f>
        <v>17.133412296000074</v>
      </c>
    </row>
    <row r="2" spans="2:13">
      <c r="C2" s="82"/>
    </row>
    <row r="3" spans="2:13">
      <c r="B3" s="84" t="s">
        <v>101</v>
      </c>
    </row>
    <row r="4" spans="2:13" ht="13.7" customHeight="1">
      <c r="B4" s="106" t="s">
        <v>6</v>
      </c>
      <c r="C4" s="106" t="s">
        <v>27</v>
      </c>
      <c r="D4" s="106">
        <v>2018</v>
      </c>
      <c r="E4" s="106">
        <v>2020</v>
      </c>
      <c r="F4" s="106">
        <v>2025</v>
      </c>
      <c r="G4" s="106">
        <v>2030</v>
      </c>
      <c r="H4" s="106">
        <v>2035</v>
      </c>
      <c r="I4" s="106">
        <v>2040</v>
      </c>
      <c r="J4" s="106">
        <v>2045</v>
      </c>
      <c r="K4" s="106">
        <v>2050</v>
      </c>
    </row>
    <row r="5" spans="2:13" ht="13.5" thickBot="1">
      <c r="B5" s="108" t="s">
        <v>276</v>
      </c>
      <c r="C5" s="108"/>
      <c r="D5" s="108" t="s">
        <v>20</v>
      </c>
      <c r="E5" s="108" t="s">
        <v>20</v>
      </c>
      <c r="F5" s="108" t="s">
        <v>20</v>
      </c>
      <c r="G5" s="108" t="s">
        <v>20</v>
      </c>
      <c r="H5" s="108" t="s">
        <v>20</v>
      </c>
      <c r="I5" s="108" t="s">
        <v>20</v>
      </c>
      <c r="J5" s="108" t="s">
        <v>20</v>
      </c>
      <c r="K5" s="108" t="s">
        <v>20</v>
      </c>
    </row>
    <row r="6" spans="2:13" ht="13.5" thickBot="1">
      <c r="B6" s="104" t="s">
        <v>242</v>
      </c>
      <c r="C6" s="104" t="s">
        <v>293</v>
      </c>
      <c r="D6" s="104">
        <v>0</v>
      </c>
      <c r="E6" s="118">
        <v>0</v>
      </c>
      <c r="F6" s="104">
        <f t="shared" ref="F6:K6" si="0">(F47-F45+F46)*3.6-F40</f>
        <v>88.654000296000049</v>
      </c>
      <c r="G6" s="104">
        <f t="shared" si="0"/>
        <v>137.26274829600004</v>
      </c>
      <c r="H6" s="104">
        <f t="shared" si="0"/>
        <v>181.68534429600004</v>
      </c>
      <c r="I6" s="104">
        <f t="shared" si="0"/>
        <v>227.112772296</v>
      </c>
      <c r="J6" s="104">
        <f t="shared" si="0"/>
        <v>267.30670029600003</v>
      </c>
      <c r="K6" s="104">
        <f t="shared" si="0"/>
        <v>309.94571949600095</v>
      </c>
    </row>
    <row r="7" spans="2:13">
      <c r="D7"/>
      <c r="E7"/>
      <c r="F7"/>
      <c r="G7"/>
      <c r="H7"/>
      <c r="I7"/>
      <c r="J7"/>
      <c r="K7"/>
    </row>
    <row r="8" spans="2:13">
      <c r="B8" s="80" t="s">
        <v>285</v>
      </c>
      <c r="D8"/>
      <c r="E8"/>
      <c r="F8"/>
      <c r="G8"/>
      <c r="H8"/>
      <c r="I8"/>
      <c r="J8"/>
      <c r="K8"/>
    </row>
    <row r="9" spans="2:13">
      <c r="E9" s="80">
        <v>548.37993600000004</v>
      </c>
    </row>
    <row r="10" spans="2:13">
      <c r="D10" s="102">
        <f>(D47+D46)*D12</f>
        <v>8.75</v>
      </c>
      <c r="E10" s="102">
        <f>(E47+E46)*E12</f>
        <v>8.4711864406779664</v>
      </c>
    </row>
    <row r="11" spans="2:13">
      <c r="D11" s="80">
        <v>8.75</v>
      </c>
      <c r="E11" s="80">
        <v>8.4711864406779664</v>
      </c>
    </row>
    <row r="12" spans="2:13">
      <c r="C12" s="80">
        <v>1</v>
      </c>
      <c r="D12" s="80">
        <v>5.6000000000000001E-2</v>
      </c>
      <c r="E12" s="83">
        <v>5.6000000000000001E-2</v>
      </c>
      <c r="F12" s="83">
        <v>5.5E-2</v>
      </c>
      <c r="G12" s="83">
        <v>5.3999999999999999E-2</v>
      </c>
      <c r="H12" s="83">
        <v>5.2999999999999999E-2</v>
      </c>
      <c r="I12" s="83">
        <v>5.1999999999999998E-2</v>
      </c>
      <c r="J12" s="83">
        <v>5.0999999999999997E-2</v>
      </c>
      <c r="K12" s="83">
        <v>0.05</v>
      </c>
    </row>
    <row r="13" spans="2:13" ht="13.5" thickBot="1">
      <c r="B13" s="80" t="s">
        <v>57</v>
      </c>
      <c r="C13" s="80" t="s">
        <v>58</v>
      </c>
      <c r="E13" s="83">
        <v>12152</v>
      </c>
      <c r="F13" s="83">
        <v>13041</v>
      </c>
      <c r="G13" s="83">
        <v>14202</v>
      </c>
      <c r="H13" s="83">
        <v>15349</v>
      </c>
      <c r="I13" s="83">
        <v>16520</v>
      </c>
      <c r="J13" s="83">
        <v>17566</v>
      </c>
      <c r="K13" s="83">
        <v>18670.400000000023</v>
      </c>
      <c r="M13" s="80" t="s">
        <v>20</v>
      </c>
    </row>
    <row r="14" spans="2:13">
      <c r="B14" s="125" t="s">
        <v>210</v>
      </c>
      <c r="C14" s="124"/>
      <c r="D14" s="123">
        <v>136.5</v>
      </c>
      <c r="E14" s="123">
        <v>131.80000000000001</v>
      </c>
      <c r="F14" s="123">
        <v>151.66683</v>
      </c>
      <c r="G14" s="123">
        <v>165.16926000000001</v>
      </c>
      <c r="H14" s="123">
        <v>178.50887</v>
      </c>
      <c r="I14" s="123">
        <v>192.1276</v>
      </c>
      <c r="J14" s="123">
        <v>204.29257999999999</v>
      </c>
      <c r="K14" s="122">
        <v>217.13675200000026</v>
      </c>
      <c r="M14" s="80">
        <f>E14*3.6</f>
        <v>474.48000000000008</v>
      </c>
    </row>
    <row r="15" spans="2:13">
      <c r="B15" s="121" t="s">
        <v>207</v>
      </c>
      <c r="D15" s="83"/>
      <c r="E15" s="83">
        <f>GUS_2020_HT_ELC!E106</f>
        <v>54.312100000000001</v>
      </c>
      <c r="F15" s="83"/>
      <c r="G15" s="83"/>
      <c r="H15" s="83"/>
      <c r="I15" s="83"/>
      <c r="J15" s="83"/>
      <c r="K15" s="120"/>
      <c r="M15" s="80">
        <f t="shared" ref="M15:M20" si="1">E15*3.6</f>
        <v>195.52356</v>
      </c>
    </row>
    <row r="16" spans="2:13">
      <c r="B16" s="121" t="s">
        <v>208</v>
      </c>
      <c r="D16" s="83"/>
      <c r="E16" s="83">
        <f>GUS_2020_HT_ELC!E120</f>
        <v>3.1749899999999998</v>
      </c>
      <c r="F16" s="83"/>
      <c r="G16" s="83"/>
      <c r="H16" s="83"/>
      <c r="I16" s="83"/>
      <c r="J16" s="83"/>
      <c r="K16" s="120"/>
      <c r="M16" s="80">
        <f t="shared" si="1"/>
        <v>11.429964</v>
      </c>
    </row>
    <row r="17" spans="2:13">
      <c r="B17" s="121" t="s">
        <v>209</v>
      </c>
      <c r="D17" s="83"/>
      <c r="E17" s="83">
        <f>GUS_2020_HT_ELC!E128</f>
        <v>46.496739999999996</v>
      </c>
      <c r="F17" s="83"/>
      <c r="G17" s="83"/>
      <c r="H17" s="83"/>
      <c r="I17" s="83"/>
      <c r="J17" s="83"/>
      <c r="K17" s="120"/>
      <c r="M17" s="80">
        <f t="shared" si="1"/>
        <v>167.38826399999999</v>
      </c>
    </row>
    <row r="18" spans="2:13">
      <c r="B18" s="121" t="s">
        <v>211</v>
      </c>
      <c r="D18" s="83"/>
      <c r="E18" s="83">
        <f>GUS_2020_HT_ELC!E129</f>
        <v>30.005400000000002</v>
      </c>
      <c r="F18" s="83"/>
      <c r="G18" s="83"/>
      <c r="H18" s="83"/>
      <c r="I18" s="83"/>
      <c r="J18" s="83"/>
      <c r="K18" s="120"/>
      <c r="M18" s="80">
        <f t="shared" si="1"/>
        <v>108.01944</v>
      </c>
    </row>
    <row r="19" spans="2:13">
      <c r="B19" s="121" t="s">
        <v>212</v>
      </c>
      <c r="D19" s="83"/>
      <c r="E19" s="83">
        <f>GUS_2020_HT_ELC!E130</f>
        <v>1.83754</v>
      </c>
      <c r="F19" s="83"/>
      <c r="G19" s="83"/>
      <c r="H19" s="83"/>
      <c r="I19" s="83"/>
      <c r="J19" s="83"/>
      <c r="K19" s="120"/>
      <c r="M19" s="80">
        <f t="shared" si="1"/>
        <v>6.6151439999999999</v>
      </c>
    </row>
    <row r="20" spans="2:13" ht="13.5" thickBot="1">
      <c r="B20" s="119" t="s">
        <v>213</v>
      </c>
      <c r="C20" s="118"/>
      <c r="D20" s="117"/>
      <c r="E20" s="117">
        <f>GUS_2020_HT_ELC!E131</f>
        <v>1.163E-2</v>
      </c>
      <c r="F20" s="117"/>
      <c r="G20" s="117"/>
      <c r="H20" s="117"/>
      <c r="I20" s="117"/>
      <c r="J20" s="117"/>
      <c r="K20" s="116"/>
      <c r="M20" s="80">
        <f t="shared" si="1"/>
        <v>4.1868000000000002E-2</v>
      </c>
    </row>
    <row r="21" spans="2:13" ht="13.5" thickBot="1">
      <c r="D21" s="83"/>
      <c r="E21" s="83"/>
      <c r="F21" s="83"/>
      <c r="G21" s="83"/>
      <c r="H21" s="83"/>
      <c r="I21" s="83"/>
      <c r="J21" s="83"/>
      <c r="K21" s="83"/>
    </row>
    <row r="22" spans="2:13" ht="12.75" customHeight="1">
      <c r="B22" s="146" t="s">
        <v>224</v>
      </c>
      <c r="C22" s="147"/>
      <c r="D22" s="147"/>
      <c r="E22" s="147"/>
      <c r="F22" s="148"/>
      <c r="G22" s="148"/>
      <c r="H22" s="149"/>
      <c r="I22" s="149"/>
      <c r="J22" s="149"/>
      <c r="K22" s="150"/>
    </row>
    <row r="23" spans="2:13" ht="13.5" thickBot="1">
      <c r="B23" s="151" t="s">
        <v>244</v>
      </c>
      <c r="C23" s="67"/>
      <c r="D23" s="67"/>
      <c r="E23" s="67"/>
      <c r="F23" s="140"/>
      <c r="G23" s="140"/>
      <c r="K23" s="152"/>
    </row>
    <row r="24" spans="2:13">
      <c r="B24" s="153" t="s">
        <v>245</v>
      </c>
      <c r="C24" s="201" t="s">
        <v>248</v>
      </c>
      <c r="D24" s="202"/>
      <c r="E24" s="163">
        <v>4.8499999999999996</v>
      </c>
      <c r="F24" s="102"/>
      <c r="G24" s="102"/>
      <c r="H24" s="102"/>
      <c r="I24" s="102"/>
      <c r="J24" s="102"/>
      <c r="K24" s="158"/>
    </row>
    <row r="25" spans="2:13">
      <c r="B25" s="153" t="s">
        <v>246</v>
      </c>
      <c r="C25" s="203"/>
      <c r="D25" s="204"/>
      <c r="E25" s="163">
        <v>6.11</v>
      </c>
      <c r="F25" s="102"/>
      <c r="G25" s="102"/>
      <c r="H25" s="102"/>
      <c r="I25" s="102"/>
      <c r="J25" s="102"/>
      <c r="K25" s="158"/>
    </row>
    <row r="26" spans="2:13">
      <c r="B26" s="151" t="s">
        <v>214</v>
      </c>
      <c r="C26" s="203"/>
      <c r="D26" s="204"/>
      <c r="E26" s="85"/>
      <c r="K26" s="152"/>
    </row>
    <row r="27" spans="2:13">
      <c r="B27" s="153" t="s">
        <v>215</v>
      </c>
      <c r="C27" s="203"/>
      <c r="D27" s="204"/>
      <c r="E27" s="163">
        <v>82.02</v>
      </c>
      <c r="F27" s="102"/>
      <c r="G27" s="102"/>
      <c r="H27" s="102"/>
      <c r="I27" s="102"/>
      <c r="J27" s="102"/>
      <c r="K27" s="158"/>
    </row>
    <row r="28" spans="2:13">
      <c r="B28" s="153" t="s">
        <v>216</v>
      </c>
      <c r="C28" s="203"/>
      <c r="D28" s="204"/>
      <c r="E28" s="163">
        <v>11.45</v>
      </c>
      <c r="F28" s="102"/>
      <c r="G28" s="102"/>
      <c r="H28" s="102"/>
      <c r="I28" s="102"/>
      <c r="J28" s="102"/>
      <c r="K28" s="158"/>
    </row>
    <row r="29" spans="2:13">
      <c r="B29" s="153" t="s">
        <v>217</v>
      </c>
      <c r="C29" s="203"/>
      <c r="D29" s="204"/>
      <c r="E29" s="163">
        <v>8.18</v>
      </c>
      <c r="F29" s="102"/>
      <c r="G29" s="102"/>
      <c r="H29" s="102"/>
      <c r="I29" s="102"/>
      <c r="J29" s="102"/>
      <c r="K29" s="158"/>
    </row>
    <row r="30" spans="2:13">
      <c r="B30" s="153" t="s">
        <v>218</v>
      </c>
      <c r="C30" s="203"/>
      <c r="D30" s="204"/>
      <c r="E30" s="163">
        <v>5.1100000000000003</v>
      </c>
      <c r="F30" s="102"/>
      <c r="G30" s="102"/>
      <c r="H30" s="102"/>
      <c r="I30" s="102"/>
      <c r="J30" s="102"/>
      <c r="K30" s="158"/>
    </row>
    <row r="31" spans="2:13">
      <c r="B31" s="154" t="s">
        <v>219</v>
      </c>
      <c r="C31" s="203"/>
      <c r="D31" s="204"/>
      <c r="E31" s="85"/>
      <c r="K31" s="152"/>
    </row>
    <row r="32" spans="2:13" ht="13.5" thickBot="1">
      <c r="B32" s="153" t="s">
        <v>220</v>
      </c>
      <c r="C32" s="205"/>
      <c r="D32" s="206"/>
      <c r="E32" s="163">
        <v>6.89</v>
      </c>
      <c r="F32" s="102"/>
      <c r="G32" s="102"/>
      <c r="H32" s="102"/>
      <c r="I32" s="102"/>
      <c r="J32" s="102"/>
      <c r="K32" s="158"/>
    </row>
    <row r="33" spans="2:11">
      <c r="B33" s="153" t="s">
        <v>249</v>
      </c>
      <c r="C33" s="159"/>
      <c r="D33" s="159"/>
      <c r="E33" s="163">
        <v>192.56907699999999</v>
      </c>
      <c r="F33" s="102"/>
      <c r="G33" s="102"/>
      <c r="H33" s="102"/>
      <c r="I33" s="102"/>
      <c r="J33" s="102"/>
      <c r="K33" s="158"/>
    </row>
    <row r="34" spans="2:11">
      <c r="B34" s="154" t="s">
        <v>221</v>
      </c>
      <c r="C34" s="67"/>
      <c r="D34" s="67"/>
      <c r="E34" s="85"/>
      <c r="K34" s="152"/>
    </row>
    <row r="35" spans="2:11">
      <c r="B35" s="153" t="s">
        <v>223</v>
      </c>
      <c r="C35" s="67"/>
      <c r="D35" s="67"/>
      <c r="E35" s="163">
        <v>0.41220000000000001</v>
      </c>
      <c r="F35" s="102"/>
      <c r="G35" s="102"/>
      <c r="H35" s="102"/>
      <c r="I35" s="102"/>
      <c r="J35" s="102"/>
      <c r="K35" s="158"/>
    </row>
    <row r="36" spans="2:11">
      <c r="B36" s="154" t="s">
        <v>260</v>
      </c>
      <c r="C36" s="67"/>
      <c r="D36" s="67"/>
      <c r="E36" s="85"/>
      <c r="K36" s="152"/>
    </row>
    <row r="37" spans="2:11">
      <c r="B37" s="153" t="s">
        <v>261</v>
      </c>
      <c r="C37" s="67"/>
      <c r="D37" s="67"/>
      <c r="E37" s="163">
        <v>172.75703950799999</v>
      </c>
      <c r="F37" s="102"/>
      <c r="G37" s="102"/>
      <c r="H37" s="102"/>
      <c r="I37" s="102"/>
      <c r="J37" s="102"/>
      <c r="K37" s="158"/>
    </row>
    <row r="38" spans="2:11">
      <c r="B38" s="154" t="s">
        <v>262</v>
      </c>
      <c r="C38" s="67"/>
      <c r="D38" s="67"/>
      <c r="E38" s="85"/>
      <c r="K38" s="152"/>
    </row>
    <row r="39" spans="2:11">
      <c r="B39" s="153" t="s">
        <v>261</v>
      </c>
      <c r="C39" s="67"/>
      <c r="D39" s="67"/>
      <c r="E39" s="163">
        <v>6.5982711960000007</v>
      </c>
      <c r="F39" s="102"/>
      <c r="G39" s="102"/>
      <c r="H39" s="102"/>
      <c r="I39" s="102"/>
      <c r="J39" s="102"/>
      <c r="K39" s="158"/>
    </row>
    <row r="40" spans="2:11" ht="13.5" thickBot="1">
      <c r="B40" s="155" t="s">
        <v>247</v>
      </c>
      <c r="C40" s="156"/>
      <c r="D40" s="156"/>
      <c r="E40" s="164">
        <f>SUM(E24:E39)</f>
        <v>496.94658770399997</v>
      </c>
      <c r="F40" s="156">
        <f>E40</f>
        <v>496.94658770399997</v>
      </c>
      <c r="G40" s="156">
        <f t="shared" ref="G40:K40" si="2">F40</f>
        <v>496.94658770399997</v>
      </c>
      <c r="H40" s="156">
        <f t="shared" si="2"/>
        <v>496.94658770399997</v>
      </c>
      <c r="I40" s="156">
        <f t="shared" si="2"/>
        <v>496.94658770399997</v>
      </c>
      <c r="J40" s="156">
        <f t="shared" si="2"/>
        <v>496.94658770399997</v>
      </c>
      <c r="K40" s="157">
        <f t="shared" si="2"/>
        <v>496.94658770399997</v>
      </c>
    </row>
    <row r="41" spans="2:11">
      <c r="B41" s="145"/>
      <c r="C41" s="67"/>
      <c r="D41" s="67"/>
      <c r="E41" s="67"/>
      <c r="F41" s="140"/>
      <c r="G41" s="140"/>
      <c r="H41" s="83"/>
      <c r="I41" s="83"/>
      <c r="J41" s="83"/>
      <c r="K41" s="83"/>
    </row>
    <row r="42" spans="2:11">
      <c r="B42" s="137"/>
      <c r="C42" s="67"/>
      <c r="D42" s="67"/>
      <c r="E42" s="67"/>
      <c r="F42" s="140"/>
      <c r="G42" s="140"/>
      <c r="H42" s="83"/>
      <c r="I42" s="83"/>
      <c r="J42" s="83"/>
      <c r="K42" s="83"/>
    </row>
    <row r="43" spans="2:11">
      <c r="D43" s="83"/>
      <c r="E43" s="83"/>
      <c r="F43" s="83"/>
      <c r="G43" s="83"/>
      <c r="H43" s="83"/>
      <c r="I43" s="83"/>
      <c r="J43" s="83"/>
      <c r="K43" s="83"/>
    </row>
    <row r="44" spans="2:11">
      <c r="B44" s="80" t="s">
        <v>59</v>
      </c>
      <c r="D44" s="80">
        <v>11</v>
      </c>
      <c r="E44" s="83">
        <v>11</v>
      </c>
      <c r="F44" s="83">
        <v>11</v>
      </c>
      <c r="G44" s="83">
        <v>11</v>
      </c>
      <c r="H44" s="83">
        <v>10</v>
      </c>
      <c r="I44" s="83">
        <v>9</v>
      </c>
      <c r="J44" s="83">
        <v>8</v>
      </c>
      <c r="K44" s="83">
        <v>7</v>
      </c>
    </row>
    <row r="45" spans="2:11">
      <c r="B45" s="80" t="s">
        <v>60</v>
      </c>
      <c r="D45" s="80">
        <v>8.75</v>
      </c>
      <c r="E45" s="80">
        <v>8.4711864406779664</v>
      </c>
      <c r="F45" s="83">
        <v>9.4673816402116415</v>
      </c>
      <c r="G45" s="83">
        <v>10.056173403805497</v>
      </c>
      <c r="H45" s="83">
        <v>10.550126832101373</v>
      </c>
      <c r="I45" s="83">
        <v>11.032315611814347</v>
      </c>
      <c r="J45" s="83">
        <v>11.408768788198101</v>
      </c>
      <c r="K45" s="83">
        <v>11.796671157894751</v>
      </c>
    </row>
    <row r="46" spans="2:11">
      <c r="B46" s="80" t="s">
        <v>61</v>
      </c>
      <c r="D46" s="80">
        <f>D66</f>
        <v>5.7179999999999893</v>
      </c>
      <c r="E46" s="83">
        <v>13.224</v>
      </c>
      <c r="F46" s="83">
        <v>0</v>
      </c>
      <c r="G46" s="83">
        <v>0</v>
      </c>
      <c r="H46" s="83">
        <v>0</v>
      </c>
      <c r="I46" s="83">
        <v>0</v>
      </c>
      <c r="J46" s="83">
        <v>0</v>
      </c>
      <c r="K46" s="83">
        <v>0</v>
      </c>
    </row>
    <row r="47" spans="2:11">
      <c r="B47" s="80" t="s">
        <v>62</v>
      </c>
      <c r="D47" s="83">
        <f t="shared" ref="D47:K47" si="3">D14+D44+D45-D46</f>
        <v>150.53200000000001</v>
      </c>
      <c r="E47" s="83">
        <f t="shared" si="3"/>
        <v>138.04718644067799</v>
      </c>
      <c r="F47" s="83">
        <f t="shared" si="3"/>
        <v>172.13421164021165</v>
      </c>
      <c r="G47" s="83">
        <f t="shared" si="3"/>
        <v>186.22543340380551</v>
      </c>
      <c r="H47" s="83">
        <f t="shared" si="3"/>
        <v>199.05899683210137</v>
      </c>
      <c r="I47" s="83">
        <f t="shared" si="3"/>
        <v>212.15991561181434</v>
      </c>
      <c r="J47" s="83">
        <f t="shared" si="3"/>
        <v>223.70134878819809</v>
      </c>
      <c r="K47" s="83">
        <f t="shared" si="3"/>
        <v>235.93342315789502</v>
      </c>
    </row>
    <row r="48" spans="2:11">
      <c r="B48" s="80" t="s">
        <v>63</v>
      </c>
      <c r="D48" s="80">
        <f>15-0.318</f>
        <v>14.682</v>
      </c>
      <c r="E48" s="83">
        <f>15-0.739</f>
        <v>14.260999999999999</v>
      </c>
      <c r="F48" s="83">
        <v>15</v>
      </c>
      <c r="G48" s="80">
        <v>14</v>
      </c>
      <c r="H48" s="80">
        <v>12</v>
      </c>
      <c r="I48" s="80">
        <v>12</v>
      </c>
      <c r="J48" s="80">
        <v>11</v>
      </c>
      <c r="K48" s="80">
        <v>10</v>
      </c>
    </row>
    <row r="49" spans="2:11">
      <c r="B49" s="80" t="s">
        <v>64</v>
      </c>
      <c r="D49" s="83">
        <f>D47+D48</f>
        <v>165.214</v>
      </c>
      <c r="E49" s="83">
        <f>E47+E48</f>
        <v>152.30818644067799</v>
      </c>
      <c r="F49" s="83">
        <f t="shared" ref="F49:K49" si="4">F47+F48</f>
        <v>187.13421164021165</v>
      </c>
      <c r="G49" s="83">
        <f t="shared" si="4"/>
        <v>200.22543340380551</v>
      </c>
      <c r="H49" s="83">
        <f t="shared" si="4"/>
        <v>211.05899683210137</v>
      </c>
      <c r="I49" s="83">
        <f t="shared" si="4"/>
        <v>224.15991561181434</v>
      </c>
      <c r="J49" s="83">
        <f t="shared" si="4"/>
        <v>234.70134878819809</v>
      </c>
      <c r="K49" s="83">
        <f t="shared" si="4"/>
        <v>245.93342315789502</v>
      </c>
    </row>
    <row r="50" spans="2:11">
      <c r="B50" s="80" t="s">
        <v>65</v>
      </c>
      <c r="C50" s="80" t="s">
        <v>58</v>
      </c>
      <c r="E50" s="83">
        <v>15258</v>
      </c>
      <c r="F50" s="83">
        <v>16156</v>
      </c>
      <c r="G50" s="83">
        <v>17297</v>
      </c>
      <c r="H50" s="83">
        <v>18289</v>
      </c>
      <c r="I50" s="83">
        <v>19412</v>
      </c>
      <c r="J50" s="83">
        <v>20414.899999999965</v>
      </c>
      <c r="K50" s="83">
        <v>21459</v>
      </c>
    </row>
    <row r="51" spans="2:11">
      <c r="C51" s="80" t="s">
        <v>66</v>
      </c>
      <c r="D51" s="80">
        <f>D47+D48</f>
        <v>165.214</v>
      </c>
      <c r="E51" s="83">
        <v>177.45053999999999</v>
      </c>
      <c r="F51" s="83">
        <v>187.89428000000001</v>
      </c>
      <c r="G51" s="83">
        <v>201.16410999999999</v>
      </c>
      <c r="H51" s="83">
        <v>212.70106999999999</v>
      </c>
      <c r="I51" s="83">
        <v>225.76156</v>
      </c>
      <c r="J51" s="83">
        <v>237.4252869999996</v>
      </c>
      <c r="K51" s="83">
        <v>249.56816999999998</v>
      </c>
    </row>
    <row r="52" spans="2:11">
      <c r="B52" s="80" t="s">
        <v>67</v>
      </c>
      <c r="E52" s="83">
        <f t="shared" ref="E52:K52" si="5">E14/E51</f>
        <v>0.74274217480544169</v>
      </c>
      <c r="F52" s="83">
        <f t="shared" si="5"/>
        <v>0.80719237435008662</v>
      </c>
      <c r="G52" s="83">
        <f t="shared" si="5"/>
        <v>0.82106723709313756</v>
      </c>
      <c r="H52" s="83">
        <f t="shared" si="5"/>
        <v>0.83924763519055179</v>
      </c>
      <c r="I52" s="83">
        <f t="shared" si="5"/>
        <v>0.85101998763651354</v>
      </c>
      <c r="J52" s="83">
        <f t="shared" si="5"/>
        <v>0.86044996546640096</v>
      </c>
      <c r="K52" s="83">
        <f t="shared" si="5"/>
        <v>0.87004986252854388</v>
      </c>
    </row>
    <row r="53" spans="2:11">
      <c r="B53" s="80" t="s">
        <v>68</v>
      </c>
      <c r="C53" s="80" t="s">
        <v>66</v>
      </c>
      <c r="E53" s="83">
        <f>E49-E51+E46</f>
        <v>-11.918353559322004</v>
      </c>
      <c r="F53" s="83">
        <f t="shared" ref="F53:K53" si="6">F49-F51+F46</f>
        <v>-0.76006835978836307</v>
      </c>
      <c r="G53" s="83">
        <f t="shared" si="6"/>
        <v>-0.93867659619448318</v>
      </c>
      <c r="H53" s="83">
        <f t="shared" si="6"/>
        <v>-1.6420731678986158</v>
      </c>
      <c r="I53" s="83">
        <f t="shared" si="6"/>
        <v>-1.6016443881856617</v>
      </c>
      <c r="J53" s="83">
        <f t="shared" si="6"/>
        <v>-2.7239382118015101</v>
      </c>
      <c r="K53" s="83">
        <f t="shared" si="6"/>
        <v>-3.6347468421049598</v>
      </c>
    </row>
    <row r="54" spans="2:11">
      <c r="B54" s="80" t="s">
        <v>69</v>
      </c>
    </row>
    <row r="57" spans="2:11">
      <c r="E57" s="80">
        <f>E47*3.6</f>
        <v>496.9698711864408</v>
      </c>
      <c r="F57" s="80">
        <f t="shared" ref="F57:K57" si="7">F47*3.6</f>
        <v>619.68316190476196</v>
      </c>
      <c r="G57" s="80">
        <f t="shared" si="7"/>
        <v>670.4115602536998</v>
      </c>
      <c r="H57" s="80">
        <f t="shared" si="7"/>
        <v>716.61238859556499</v>
      </c>
      <c r="I57" s="80">
        <f t="shared" si="7"/>
        <v>763.77569620253166</v>
      </c>
      <c r="J57" s="80">
        <f t="shared" si="7"/>
        <v>805.32485563751311</v>
      </c>
      <c r="K57" s="80">
        <f t="shared" si="7"/>
        <v>849.36032336842209</v>
      </c>
    </row>
    <row r="58" spans="2:11">
      <c r="E58" s="80">
        <f>E45*3.6</f>
        <v>30.49627118644068</v>
      </c>
      <c r="F58" s="80">
        <f t="shared" ref="F58:K58" si="8">F45*3.6</f>
        <v>34.082573904761908</v>
      </c>
      <c r="G58" s="80">
        <f t="shared" si="8"/>
        <v>36.202224253699789</v>
      </c>
      <c r="H58" s="80">
        <f t="shared" si="8"/>
        <v>37.980456595564945</v>
      </c>
      <c r="I58" s="80">
        <f t="shared" si="8"/>
        <v>39.71633620253165</v>
      </c>
      <c r="J58" s="80">
        <f t="shared" si="8"/>
        <v>41.071567637513162</v>
      </c>
      <c r="K58" s="80">
        <f t="shared" si="8"/>
        <v>42.468016168421109</v>
      </c>
    </row>
    <row r="61" spans="2:11">
      <c r="E61" s="80">
        <f>E1/(1-E12)</f>
        <v>18.149801161017027</v>
      </c>
      <c r="F61" s="80">
        <f t="shared" ref="F61:K61" si="9">F6/(1-F12)</f>
        <v>93.813756926984183</v>
      </c>
      <c r="G61" s="80">
        <f t="shared" si="9"/>
        <v>145.09804259619455</v>
      </c>
      <c r="H61" s="80">
        <f t="shared" si="9"/>
        <v>191.85358426187966</v>
      </c>
      <c r="I61" s="80">
        <f t="shared" si="9"/>
        <v>239.57043491139243</v>
      </c>
      <c r="J61" s="80">
        <f t="shared" si="9"/>
        <v>281.67197080716551</v>
      </c>
      <c r="K61" s="80">
        <f t="shared" si="9"/>
        <v>326.25865210105366</v>
      </c>
    </row>
    <row r="63" spans="2:11">
      <c r="B63" s="80" t="s">
        <v>70</v>
      </c>
      <c r="D63" s="80">
        <v>2018</v>
      </c>
      <c r="E63" s="80">
        <v>2019</v>
      </c>
      <c r="F63" s="80">
        <v>2020</v>
      </c>
    </row>
    <row r="64" spans="2:11">
      <c r="B64" s="80" t="s">
        <v>71</v>
      </c>
      <c r="D64" s="80">
        <v>165.214</v>
      </c>
      <c r="E64" s="80">
        <v>158.767</v>
      </c>
      <c r="F64" s="80">
        <v>152.30799999999999</v>
      </c>
    </row>
    <row r="65" spans="2:6">
      <c r="B65" s="80" t="s">
        <v>72</v>
      </c>
      <c r="D65" s="80">
        <v>170.93199999999999</v>
      </c>
      <c r="E65" s="80">
        <v>169.39099999999999</v>
      </c>
      <c r="F65" s="80">
        <v>165.53200000000001</v>
      </c>
    </row>
    <row r="66" spans="2:6">
      <c r="D66" s="80">
        <f>D65-D64</f>
        <v>5.7179999999999893</v>
      </c>
      <c r="E66" s="80">
        <f>E65-E64</f>
        <v>10.623999999999995</v>
      </c>
      <c r="F66" s="80">
        <f>F65-F64</f>
        <v>13.224000000000018</v>
      </c>
    </row>
  </sheetData>
  <mergeCells count="1">
    <mergeCell ref="C24:D32"/>
  </mergeCell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6FDF-9216-4A8E-AC85-D6A0B955DDE4}">
  <dimension ref="B2:N17"/>
  <sheetViews>
    <sheetView zoomScale="115" zoomScaleNormal="115" workbookViewId="0">
      <selection activeCell="B7" sqref="B7"/>
    </sheetView>
  </sheetViews>
  <sheetFormatPr defaultColWidth="9.140625" defaultRowHeight="12.75"/>
  <cols>
    <col min="1" max="1" width="5.5703125" style="80" customWidth="1"/>
    <col min="2" max="2" width="19.140625" style="80" bestFit="1" customWidth="1"/>
    <col min="3" max="3" width="19.140625" style="80" customWidth="1"/>
    <col min="4" max="14" width="16.140625" style="80" customWidth="1"/>
    <col min="15" max="16384" width="9.140625" style="80"/>
  </cols>
  <sheetData>
    <row r="2" spans="2:14">
      <c r="G2"/>
      <c r="H2"/>
      <c r="I2"/>
      <c r="J2"/>
      <c r="K2"/>
      <c r="L2"/>
      <c r="M2"/>
      <c r="N2"/>
    </row>
    <row r="3" spans="2:14">
      <c r="B3" s="84" t="s">
        <v>101</v>
      </c>
      <c r="C3" s="84"/>
      <c r="E3"/>
      <c r="G3"/>
      <c r="H3"/>
      <c r="I3"/>
      <c r="J3"/>
      <c r="K3"/>
      <c r="L3"/>
      <c r="M3"/>
      <c r="N3"/>
    </row>
    <row r="4" spans="2:14" ht="15.75" customHeight="1">
      <c r="M4"/>
      <c r="N4"/>
    </row>
    <row r="5" spans="2:14" ht="15.75" customHeight="1">
      <c r="B5" s="106" t="s">
        <v>6</v>
      </c>
      <c r="C5" s="106" t="s">
        <v>27</v>
      </c>
      <c r="D5" s="106">
        <v>2020</v>
      </c>
      <c r="E5"/>
      <c r="F5" s="106">
        <v>2021</v>
      </c>
      <c r="G5" s="106">
        <v>2025</v>
      </c>
      <c r="H5" s="106">
        <v>2030</v>
      </c>
      <c r="I5" s="106">
        <v>2035</v>
      </c>
      <c r="J5" s="106">
        <v>2040</v>
      </c>
      <c r="K5" s="106">
        <v>2045</v>
      </c>
      <c r="L5" s="106">
        <v>2050</v>
      </c>
      <c r="M5"/>
      <c r="N5"/>
    </row>
    <row r="6" spans="2:14" ht="15.75" customHeight="1" thickBot="1">
      <c r="B6" s="108" t="s">
        <v>276</v>
      </c>
      <c r="C6" s="108" t="s">
        <v>27</v>
      </c>
      <c r="D6" s="108" t="s">
        <v>20</v>
      </c>
      <c r="E6"/>
      <c r="F6" s="108" t="s">
        <v>20</v>
      </c>
      <c r="G6" s="108" t="s">
        <v>20</v>
      </c>
      <c r="H6" s="108" t="s">
        <v>20</v>
      </c>
      <c r="I6" s="108" t="s">
        <v>20</v>
      </c>
      <c r="J6" s="108" t="s">
        <v>20</v>
      </c>
      <c r="K6" s="108" t="s">
        <v>20</v>
      </c>
      <c r="L6" s="108" t="s">
        <v>20</v>
      </c>
      <c r="M6"/>
      <c r="N6"/>
    </row>
    <row r="7" spans="2:14" ht="15.75" customHeight="1">
      <c r="B7" s="175" t="s">
        <v>277</v>
      </c>
      <c r="C7" s="172" t="s">
        <v>293</v>
      </c>
      <c r="D7" s="176">
        <v>230.03011890000002</v>
      </c>
      <c r="E7"/>
      <c r="F7" s="176">
        <v>230.03011890000002</v>
      </c>
      <c r="G7" s="176">
        <v>230.03011890000002</v>
      </c>
      <c r="H7" s="176">
        <v>230.03011890000002</v>
      </c>
      <c r="I7" s="176">
        <v>230.03011890000002</v>
      </c>
      <c r="J7" s="176">
        <v>230.03011890000002</v>
      </c>
      <c r="K7" s="176">
        <v>230.03011890000002</v>
      </c>
      <c r="L7" s="176">
        <v>230.03011890000002</v>
      </c>
      <c r="M7"/>
      <c r="N7"/>
    </row>
    <row r="8" spans="2:14" ht="13.5" thickBot="1">
      <c r="B8" s="105" t="s">
        <v>278</v>
      </c>
      <c r="C8" s="105" t="s">
        <v>293</v>
      </c>
      <c r="D8" s="105">
        <v>145.63670756400001</v>
      </c>
      <c r="E8"/>
      <c r="F8" s="105">
        <v>145.63670756400001</v>
      </c>
      <c r="G8" s="105">
        <v>145.63670756400001</v>
      </c>
      <c r="H8" s="105">
        <v>145.63670756400001</v>
      </c>
      <c r="I8" s="105">
        <v>145.63670756400001</v>
      </c>
      <c r="J8" s="105">
        <v>145.63670756400001</v>
      </c>
      <c r="K8" s="105">
        <v>145.63670756400001</v>
      </c>
      <c r="L8" s="105">
        <v>145.63670756400001</v>
      </c>
      <c r="M8"/>
      <c r="N8"/>
    </row>
    <row r="9" spans="2:14">
      <c r="B9"/>
      <c r="C9"/>
      <c r="D9"/>
      <c r="E9"/>
      <c r="G9"/>
      <c r="H9"/>
      <c r="I9"/>
      <c r="J9"/>
      <c r="K9"/>
      <c r="L9"/>
      <c r="M9"/>
      <c r="N9"/>
    </row>
    <row r="10" spans="2:14">
      <c r="B10"/>
      <c r="C10"/>
      <c r="D10"/>
      <c r="E10"/>
      <c r="G10"/>
      <c r="H10"/>
      <c r="I10"/>
      <c r="J10"/>
      <c r="K10"/>
      <c r="L10"/>
      <c r="M10"/>
      <c r="N10"/>
    </row>
    <row r="11" spans="2:14">
      <c r="D11"/>
      <c r="E11"/>
      <c r="G11"/>
      <c r="H11"/>
      <c r="I11"/>
      <c r="J11"/>
      <c r="K11"/>
      <c r="L11"/>
      <c r="M11"/>
      <c r="N11"/>
    </row>
    <row r="12" spans="2:14">
      <c r="D12"/>
      <c r="E12"/>
      <c r="G12"/>
      <c r="H12"/>
      <c r="I12"/>
      <c r="J12"/>
      <c r="K12"/>
      <c r="L12"/>
      <c r="M12"/>
      <c r="N12"/>
    </row>
    <row r="13" spans="2:14">
      <c r="B13"/>
      <c r="C13"/>
      <c r="D13"/>
      <c r="E13"/>
      <c r="G13"/>
      <c r="H13"/>
      <c r="I13"/>
      <c r="J13"/>
      <c r="K13"/>
      <c r="L13"/>
      <c r="M13"/>
      <c r="N13"/>
    </row>
    <row r="14" spans="2:14">
      <c r="B14"/>
      <c r="C14"/>
      <c r="D14"/>
      <c r="E14"/>
      <c r="G14"/>
      <c r="H14"/>
      <c r="I14"/>
      <c r="J14"/>
      <c r="K14"/>
      <c r="L14"/>
      <c r="M14"/>
      <c r="N14"/>
    </row>
    <row r="15" spans="2:14">
      <c r="B15"/>
      <c r="C15"/>
      <c r="D15"/>
      <c r="E15"/>
    </row>
    <row r="16" spans="2:14">
      <c r="B16"/>
      <c r="C16"/>
      <c r="D16"/>
      <c r="E16"/>
    </row>
    <row r="17" spans="2:5">
      <c r="B17"/>
      <c r="C17"/>
      <c r="D17"/>
      <c r="E17"/>
    </row>
  </sheetData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C00-8700-4F17-A29B-630E8EC1B895}">
  <dimension ref="B2:P53"/>
  <sheetViews>
    <sheetView zoomScale="115" zoomScaleNormal="115" workbookViewId="0">
      <selection activeCell="J33" sqref="J33"/>
    </sheetView>
  </sheetViews>
  <sheetFormatPr defaultColWidth="9.140625" defaultRowHeight="12.75"/>
  <cols>
    <col min="1" max="1" width="5.5703125" style="80" customWidth="1"/>
    <col min="2" max="3" width="38.85546875" style="80" customWidth="1"/>
    <col min="4" max="13" width="16.140625" style="80" customWidth="1"/>
    <col min="14" max="16384" width="9.140625" style="80"/>
  </cols>
  <sheetData>
    <row r="2" spans="2:11">
      <c r="D2" s="80">
        <v>15015.333000000001</v>
      </c>
    </row>
    <row r="3" spans="2:11">
      <c r="B3" s="84" t="s">
        <v>101</v>
      </c>
      <c r="C3" s="84"/>
    </row>
    <row r="4" spans="2:11" ht="15.75" customHeight="1">
      <c r="B4" s="106" t="s">
        <v>6</v>
      </c>
      <c r="C4" s="106" t="s">
        <v>27</v>
      </c>
      <c r="D4" s="106">
        <v>2020</v>
      </c>
      <c r="E4" s="106">
        <v>2021</v>
      </c>
      <c r="F4" s="106">
        <v>2025</v>
      </c>
      <c r="G4" s="106">
        <v>2030</v>
      </c>
      <c r="H4" s="106">
        <v>2035</v>
      </c>
      <c r="I4" s="106">
        <v>2040</v>
      </c>
      <c r="J4" s="106">
        <v>2045</v>
      </c>
      <c r="K4" s="106">
        <v>2050</v>
      </c>
    </row>
    <row r="5" spans="2:11" ht="15.75" customHeight="1" thickBot="1">
      <c r="B5" s="108" t="s">
        <v>276</v>
      </c>
      <c r="C5" s="108" t="s">
        <v>27</v>
      </c>
      <c r="D5" s="108"/>
      <c r="E5" s="108"/>
      <c r="F5" s="108" t="s">
        <v>272</v>
      </c>
      <c r="G5" s="108" t="s">
        <v>272</v>
      </c>
      <c r="H5" s="108" t="s">
        <v>272</v>
      </c>
      <c r="I5" s="108" t="s">
        <v>272</v>
      </c>
      <c r="J5" s="108" t="s">
        <v>272</v>
      </c>
      <c r="K5" s="108" t="s">
        <v>272</v>
      </c>
    </row>
    <row r="6" spans="2:11" ht="15.75" customHeight="1">
      <c r="B6" s="172" t="str">
        <f>SEC_Comm!D11</f>
        <v>DMD_NEW_RSD_DTH</v>
      </c>
      <c r="C6" s="172" t="s">
        <v>293</v>
      </c>
      <c r="D6" s="173">
        <v>0</v>
      </c>
      <c r="E6" s="173">
        <v>0</v>
      </c>
      <c r="F6" s="173">
        <f>F18*F26</f>
        <v>318.65999999999997</v>
      </c>
      <c r="G6" s="173">
        <f t="shared" ref="G6:K6" si="0">G18*G26</f>
        <v>185.17999999999998</v>
      </c>
      <c r="H6" s="173">
        <f t="shared" si="0"/>
        <v>229.82999999999998</v>
      </c>
      <c r="I6" s="173">
        <f t="shared" si="0"/>
        <v>181.24</v>
      </c>
      <c r="J6" s="173">
        <f t="shared" si="0"/>
        <v>246.60599999999934</v>
      </c>
      <c r="K6" s="173">
        <f t="shared" si="0"/>
        <v>215.68500000000131</v>
      </c>
    </row>
    <row r="7" spans="2:11" ht="15.75" customHeight="1">
      <c r="B7" s="167" t="str">
        <f>SEC_Comm!D12</f>
        <v>DMD_NEW_RSD_SDTH</v>
      </c>
      <c r="C7" s="167" t="s">
        <v>293</v>
      </c>
      <c r="D7" s="168">
        <v>0</v>
      </c>
      <c r="E7" s="168">
        <v>0</v>
      </c>
      <c r="F7" s="168">
        <f>F18*F27</f>
        <v>40.68</v>
      </c>
      <c r="G7" s="168">
        <f t="shared" ref="G7:K7" si="1">G18*G27</f>
        <v>23.64</v>
      </c>
      <c r="H7" s="168">
        <f t="shared" si="1"/>
        <v>29.34</v>
      </c>
      <c r="I7" s="168">
        <f t="shared" si="1"/>
        <v>23.64</v>
      </c>
      <c r="J7" s="168">
        <f t="shared" si="1"/>
        <v>32.165999999999912</v>
      </c>
      <c r="K7" s="168">
        <f t="shared" si="1"/>
        <v>28.758000000000173</v>
      </c>
    </row>
    <row r="8" spans="2:11" ht="15.75" customHeight="1" thickBot="1">
      <c r="B8" s="169" t="str">
        <f>SEC_Comm!D13</f>
        <v>DMD_NEW_RSD_FLAT</v>
      </c>
      <c r="C8" s="169" t="s">
        <v>293</v>
      </c>
      <c r="D8" s="104">
        <v>0</v>
      </c>
      <c r="E8" s="104">
        <v>0</v>
      </c>
      <c r="F8" s="104">
        <f>F18*F25</f>
        <v>318.65999999999997</v>
      </c>
      <c r="G8" s="104">
        <f t="shared" ref="G8:K8" si="2">G18*G25</f>
        <v>185.17999999999998</v>
      </c>
      <c r="H8" s="104">
        <f t="shared" si="2"/>
        <v>229.82999999999998</v>
      </c>
      <c r="I8" s="104">
        <f t="shared" si="2"/>
        <v>189.12</v>
      </c>
      <c r="J8" s="104">
        <f t="shared" si="2"/>
        <v>257.32799999999929</v>
      </c>
      <c r="K8" s="104">
        <f t="shared" si="2"/>
        <v>234.85700000000142</v>
      </c>
    </row>
    <row r="9" spans="2:11">
      <c r="B9"/>
      <c r="C9"/>
      <c r="D9"/>
    </row>
    <row r="10" spans="2:11">
      <c r="B10"/>
      <c r="C10"/>
      <c r="D10"/>
    </row>
    <row r="11" spans="2:11">
      <c r="B11"/>
      <c r="C11"/>
      <c r="D11"/>
      <c r="F11" s="80">
        <f>SUM(F6:F8)</f>
        <v>678</v>
      </c>
      <c r="G11" s="80">
        <f t="shared" ref="G11:K11" si="3">SUM(G6:G8)</f>
        <v>394</v>
      </c>
      <c r="H11" s="80">
        <f t="shared" si="3"/>
        <v>488.99999999999994</v>
      </c>
      <c r="I11" s="80">
        <f t="shared" si="3"/>
        <v>394</v>
      </c>
      <c r="J11" s="80">
        <f t="shared" si="3"/>
        <v>536.09999999999854</v>
      </c>
      <c r="K11" s="80">
        <f t="shared" si="3"/>
        <v>479.30000000000291</v>
      </c>
    </row>
    <row r="12" spans="2:11">
      <c r="B12"/>
      <c r="C12"/>
      <c r="D12"/>
    </row>
    <row r="13" spans="2:11">
      <c r="B13"/>
      <c r="C13"/>
      <c r="D13"/>
    </row>
    <row r="14" spans="2:11">
      <c r="B14"/>
      <c r="C14"/>
      <c r="D14"/>
      <c r="E14" s="194"/>
    </row>
    <row r="15" spans="2:11">
      <c r="B15"/>
      <c r="C15"/>
      <c r="D15"/>
    </row>
    <row r="16" spans="2:11">
      <c r="B16"/>
      <c r="C16"/>
      <c r="D16"/>
    </row>
    <row r="17" spans="3:16">
      <c r="D17" s="80" t="s">
        <v>324</v>
      </c>
      <c r="E17" s="194">
        <v>15016</v>
      </c>
      <c r="F17" s="80">
        <v>15694</v>
      </c>
      <c r="G17" s="80">
        <v>16088</v>
      </c>
      <c r="H17" s="80">
        <v>16577</v>
      </c>
      <c r="I17" s="80">
        <v>16971</v>
      </c>
      <c r="J17" s="194">
        <v>17507.099999999999</v>
      </c>
      <c r="K17" s="80">
        <v>17986.400000000001</v>
      </c>
    </row>
    <row r="18" spans="3:16" ht="15">
      <c r="F18" s="195">
        <f>F17-E17</f>
        <v>678</v>
      </c>
      <c r="G18" s="195">
        <f t="shared" ref="G18:K18" si="4">G17-F17</f>
        <v>394</v>
      </c>
      <c r="H18" s="195">
        <f t="shared" si="4"/>
        <v>489</v>
      </c>
      <c r="I18" s="195">
        <f t="shared" si="4"/>
        <v>394</v>
      </c>
      <c r="J18" s="195">
        <f t="shared" si="4"/>
        <v>536.09999999999854</v>
      </c>
      <c r="K18" s="195">
        <f t="shared" si="4"/>
        <v>479.30000000000291</v>
      </c>
    </row>
    <row r="22" spans="3:16" ht="15">
      <c r="M22" s="179"/>
    </row>
    <row r="23" spans="3:16" ht="15">
      <c r="M23" s="179"/>
    </row>
    <row r="24" spans="3:16" ht="15.75" thickBot="1">
      <c r="M24" s="179"/>
    </row>
    <row r="25" spans="3:16" ht="46.5">
      <c r="C25" s="183" t="s">
        <v>296</v>
      </c>
      <c r="D25" s="180">
        <v>0.47</v>
      </c>
      <c r="E25" s="180">
        <v>0.47</v>
      </c>
      <c r="F25" s="180">
        <v>0.47</v>
      </c>
      <c r="G25" s="180">
        <v>0.47</v>
      </c>
      <c r="H25" s="180">
        <v>0.47</v>
      </c>
      <c r="I25" s="180">
        <v>0.48</v>
      </c>
      <c r="J25" s="180">
        <v>0.48</v>
      </c>
      <c r="K25" s="180">
        <v>0.49</v>
      </c>
      <c r="M25" s="179"/>
    </row>
    <row r="26" spans="3:16" ht="30.75">
      <c r="C26" s="184" t="s">
        <v>297</v>
      </c>
      <c r="D26" s="181">
        <v>0.47</v>
      </c>
      <c r="E26" s="181">
        <v>0.47</v>
      </c>
      <c r="F26" s="181">
        <v>0.47</v>
      </c>
      <c r="G26" s="181">
        <v>0.47</v>
      </c>
      <c r="H26" s="181">
        <v>0.47</v>
      </c>
      <c r="I26" s="181">
        <v>0.46</v>
      </c>
      <c r="J26" s="181">
        <v>0.46</v>
      </c>
      <c r="K26" s="181">
        <v>0.45</v>
      </c>
      <c r="P26" s="179"/>
    </row>
    <row r="27" spans="3:16" ht="63" thickBot="1">
      <c r="C27" s="185" t="s">
        <v>298</v>
      </c>
      <c r="D27" s="182">
        <v>0.06</v>
      </c>
      <c r="E27" s="182">
        <v>0.06</v>
      </c>
      <c r="F27" s="182">
        <v>0.06</v>
      </c>
      <c r="G27" s="182">
        <v>0.06</v>
      </c>
      <c r="H27" s="182">
        <v>0.06</v>
      </c>
      <c r="I27" s="182">
        <v>0.06</v>
      </c>
      <c r="J27" s="182">
        <v>0.06</v>
      </c>
      <c r="K27" s="182">
        <v>0.06</v>
      </c>
      <c r="M27" s="179"/>
      <c r="P27" s="179"/>
    </row>
    <row r="28" spans="3:16" ht="15">
      <c r="M28" s="179"/>
      <c r="P28" s="179"/>
    </row>
    <row r="29" spans="3:16" ht="15">
      <c r="M29" s="179"/>
      <c r="P29" s="179"/>
    </row>
    <row r="30" spans="3:16" ht="15">
      <c r="M30" s="179"/>
    </row>
    <row r="32" spans="3:16" ht="15">
      <c r="M32" s="179"/>
    </row>
    <row r="33" spans="13:13" ht="15">
      <c r="M33" s="179"/>
    </row>
    <row r="34" spans="13:13" ht="15">
      <c r="M34" s="179"/>
    </row>
    <row r="35" spans="13:13" ht="15">
      <c r="M35" s="179"/>
    </row>
    <row r="37" spans="13:13" ht="15">
      <c r="M37" s="179"/>
    </row>
    <row r="38" spans="13:13" ht="15">
      <c r="M38" s="179"/>
    </row>
    <row r="39" spans="13:13" ht="15">
      <c r="M39" s="179"/>
    </row>
    <row r="40" spans="13:13" ht="15">
      <c r="M40" s="179"/>
    </row>
    <row r="49" spans="4:11">
      <c r="D49" s="80" t="s">
        <v>323</v>
      </c>
      <c r="G49" s="194">
        <v>15016</v>
      </c>
      <c r="H49" s="80">
        <v>15694</v>
      </c>
      <c r="I49" s="80">
        <v>16088</v>
      </c>
      <c r="J49" s="80">
        <v>16577</v>
      </c>
      <c r="K49" s="80">
        <v>16971</v>
      </c>
    </row>
    <row r="50" spans="4:11">
      <c r="D50" s="194">
        <v>15694</v>
      </c>
    </row>
    <row r="51" spans="4:11">
      <c r="D51" s="194">
        <v>16088</v>
      </c>
    </row>
    <row r="52" spans="4:11">
      <c r="D52" s="194">
        <v>16577</v>
      </c>
    </row>
    <row r="53" spans="4:11">
      <c r="D53" s="194">
        <v>16971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2400-07D1-497E-B8C2-98C641C30BC0}">
  <dimension ref="B1:K47"/>
  <sheetViews>
    <sheetView zoomScale="145" zoomScaleNormal="145" workbookViewId="0">
      <selection activeCell="F12" sqref="F12"/>
    </sheetView>
  </sheetViews>
  <sheetFormatPr defaultColWidth="9.140625" defaultRowHeight="12.75"/>
  <cols>
    <col min="1" max="1" width="3.5703125" style="80" customWidth="1"/>
    <col min="2" max="2" width="24.5703125" style="80" customWidth="1"/>
    <col min="3" max="12" width="16.140625" style="80" customWidth="1"/>
    <col min="13" max="16384" width="9.140625" style="80"/>
  </cols>
  <sheetData>
    <row r="1" spans="2:10">
      <c r="B1" s="80" t="s">
        <v>56</v>
      </c>
      <c r="E1" s="80">
        <f>E5-$D$5</f>
        <v>5</v>
      </c>
      <c r="F1" s="80">
        <v>5</v>
      </c>
      <c r="G1" s="80">
        <v>5</v>
      </c>
      <c r="H1" s="80">
        <v>5</v>
      </c>
      <c r="I1" s="80">
        <v>5</v>
      </c>
      <c r="J1" s="80">
        <v>5</v>
      </c>
    </row>
    <row r="2" spans="2:10">
      <c r="B2" s="82"/>
      <c r="E2" s="80">
        <v>0.03</v>
      </c>
      <c r="F2" s="80">
        <v>0.03</v>
      </c>
      <c r="G2" s="80">
        <v>0.02</v>
      </c>
      <c r="H2" s="80">
        <v>0.02</v>
      </c>
      <c r="I2" s="80">
        <v>0.02</v>
      </c>
      <c r="J2" s="80">
        <v>0.02</v>
      </c>
    </row>
    <row r="3" spans="2:10">
      <c r="B3" s="82"/>
    </row>
    <row r="4" spans="2:10">
      <c r="B4" s="84" t="s">
        <v>101</v>
      </c>
    </row>
    <row r="5" spans="2:10" ht="13.7" customHeight="1">
      <c r="B5" s="106" t="s">
        <v>6</v>
      </c>
      <c r="C5" s="106" t="s">
        <v>27</v>
      </c>
      <c r="D5" s="106">
        <v>2020</v>
      </c>
      <c r="E5" s="106">
        <v>2025</v>
      </c>
      <c r="F5" s="106">
        <v>2030</v>
      </c>
      <c r="G5" s="106">
        <v>2035</v>
      </c>
      <c r="H5" s="106">
        <v>2040</v>
      </c>
      <c r="I5" s="106">
        <v>2045</v>
      </c>
      <c r="J5" s="106">
        <v>2050</v>
      </c>
    </row>
    <row r="6" spans="2:10" ht="13.5" thickBot="1">
      <c r="B6" s="108" t="s">
        <v>276</v>
      </c>
      <c r="C6" s="108"/>
      <c r="D6" s="108" t="s">
        <v>250</v>
      </c>
      <c r="E6" s="109" t="s">
        <v>250</v>
      </c>
      <c r="F6" s="109" t="s">
        <v>250</v>
      </c>
      <c r="G6" s="109" t="s">
        <v>250</v>
      </c>
      <c r="H6" s="109" t="s">
        <v>250</v>
      </c>
      <c r="I6" s="109" t="s">
        <v>250</v>
      </c>
      <c r="J6" s="109" t="s">
        <v>250</v>
      </c>
    </row>
    <row r="7" spans="2:10" ht="13.5" thickBot="1">
      <c r="B7" s="161" t="s">
        <v>259</v>
      </c>
      <c r="C7" s="161" t="s">
        <v>293</v>
      </c>
      <c r="D7" s="161">
        <v>100</v>
      </c>
      <c r="E7" s="178">
        <f>ROUND($D$7*(1+E2)^E1,3)</f>
        <v>115.92700000000001</v>
      </c>
      <c r="F7" s="178">
        <f>ROUND($E$7*(1+F2)^F1,3)</f>
        <v>134.39099999999999</v>
      </c>
      <c r="G7" s="178">
        <f>ROUND($F$7*(1+G2)^G1,3)</f>
        <v>148.37899999999999</v>
      </c>
      <c r="H7" s="178">
        <f>ROUND($G$7*(1+H2)^H1,3)</f>
        <v>163.822</v>
      </c>
      <c r="I7" s="178">
        <f>ROUND($H$7*(1+I2)^I1,3)</f>
        <v>180.87299999999999</v>
      </c>
      <c r="J7" s="178">
        <f>ROUND($I$7*(1+J2)^J1,3)</f>
        <v>199.69800000000001</v>
      </c>
    </row>
    <row r="8" spans="2:10">
      <c r="B8" s="160"/>
      <c r="C8" s="160"/>
      <c r="D8" s="160"/>
      <c r="E8" s="83"/>
      <c r="F8" s="83"/>
      <c r="G8" s="83"/>
      <c r="H8" s="83"/>
      <c r="I8" s="83"/>
      <c r="J8" s="83"/>
    </row>
    <row r="9" spans="2:10">
      <c r="E9" s="192">
        <f>(E7-$D7)/$D7</f>
        <v>0.15927000000000008</v>
      </c>
      <c r="F9" s="192">
        <f t="shared" ref="F9:J9" si="0">(F7-$D7)/$D7</f>
        <v>0.34390999999999994</v>
      </c>
      <c r="G9" s="192">
        <f t="shared" si="0"/>
        <v>0.48378999999999989</v>
      </c>
      <c r="H9" s="192">
        <f t="shared" si="0"/>
        <v>0.63822000000000001</v>
      </c>
      <c r="I9" s="192">
        <f t="shared" si="0"/>
        <v>0.80872999999999995</v>
      </c>
      <c r="J9" s="192">
        <f t="shared" si="0"/>
        <v>0.99698000000000009</v>
      </c>
    </row>
    <row r="11" spans="2:10">
      <c r="B11" s="84" t="s">
        <v>101</v>
      </c>
    </row>
    <row r="12" spans="2:10">
      <c r="B12" s="106" t="s">
        <v>6</v>
      </c>
      <c r="C12" s="106" t="s">
        <v>27</v>
      </c>
      <c r="D12" s="106">
        <v>2020</v>
      </c>
    </row>
    <row r="13" spans="2:10" ht="13.5" thickBot="1">
      <c r="B13" s="108" t="s">
        <v>276</v>
      </c>
      <c r="C13" s="108"/>
      <c r="D13" s="108" t="s">
        <v>20</v>
      </c>
    </row>
    <row r="14" spans="2:10" ht="13.5" thickBot="1">
      <c r="B14" s="161" t="s">
        <v>287</v>
      </c>
      <c r="C14" s="161" t="s">
        <v>293</v>
      </c>
      <c r="D14" s="161">
        <v>1</v>
      </c>
    </row>
    <row r="16" spans="2:10">
      <c r="C16" s="80" t="s">
        <v>290</v>
      </c>
      <c r="D16" s="80" t="s">
        <v>291</v>
      </c>
      <c r="E16" s="80" t="s">
        <v>245</v>
      </c>
      <c r="F16" s="80" t="s">
        <v>292</v>
      </c>
    </row>
    <row r="17" spans="2:11">
      <c r="B17" s="80" t="s">
        <v>288</v>
      </c>
      <c r="C17" s="80">
        <v>116.8</v>
      </c>
      <c r="D17" s="80">
        <f>GUS_2020_HT_ELC!B56</f>
        <v>4.8985560000000001</v>
      </c>
      <c r="E17" s="80">
        <f>C17-D17</f>
        <v>111.901444</v>
      </c>
      <c r="F17" s="177">
        <f>D17/C17</f>
        <v>4.1939691780821922E-2</v>
      </c>
    </row>
    <row r="18" spans="2:11">
      <c r="B18" s="80" t="s">
        <v>289</v>
      </c>
      <c r="C18" s="80">
        <v>106.96</v>
      </c>
      <c r="D18" s="80">
        <f>GUS_2020_HT_ELC!B55</f>
        <v>16.579727999999999</v>
      </c>
      <c r="E18" s="80">
        <f>C18-D18</f>
        <v>90.380271999999991</v>
      </c>
      <c r="F18" s="177">
        <f>D18/C18</f>
        <v>0.15500867614061331</v>
      </c>
    </row>
    <row r="19" spans="2:11">
      <c r="B19"/>
      <c r="C19"/>
      <c r="D19"/>
      <c r="E19">
        <f>SUM(E17:E18)</f>
        <v>202.28171599999999</v>
      </c>
      <c r="F19"/>
      <c r="G19"/>
      <c r="H19"/>
      <c r="I19"/>
      <c r="J19"/>
      <c r="K19"/>
    </row>
    <row r="20" spans="2:11">
      <c r="B20"/>
      <c r="C20"/>
      <c r="D20"/>
      <c r="E20"/>
      <c r="F20"/>
      <c r="G20"/>
      <c r="H20"/>
      <c r="I20"/>
      <c r="J20"/>
      <c r="K20"/>
    </row>
    <row r="21" spans="2:11">
      <c r="B21"/>
      <c r="C21"/>
      <c r="D21"/>
      <c r="E21"/>
      <c r="F21"/>
      <c r="G21"/>
      <c r="H21"/>
      <c r="I21"/>
      <c r="J21"/>
      <c r="K21"/>
    </row>
    <row r="22" spans="2:11">
      <c r="B22" s="160"/>
      <c r="C22" s="160">
        <v>100</v>
      </c>
      <c r="E22" s="160">
        <v>100</v>
      </c>
      <c r="F22" s="160">
        <v>100</v>
      </c>
      <c r="G22" s="160">
        <v>100</v>
      </c>
      <c r="H22" s="160">
        <v>100</v>
      </c>
      <c r="I22" s="160">
        <v>100</v>
      </c>
      <c r="J22" s="160">
        <v>100</v>
      </c>
    </row>
    <row r="23" spans="2:11">
      <c r="B23" s="162"/>
      <c r="C23" s="162">
        <v>100</v>
      </c>
      <c r="E23" s="162">
        <v>100</v>
      </c>
      <c r="F23" s="162">
        <v>100</v>
      </c>
      <c r="G23" s="162">
        <v>100</v>
      </c>
      <c r="H23" s="162">
        <v>100</v>
      </c>
      <c r="I23" s="162">
        <v>100</v>
      </c>
      <c r="J23" s="162">
        <v>100</v>
      </c>
    </row>
    <row r="24" spans="2:11">
      <c r="B24" s="160" t="s">
        <v>251</v>
      </c>
      <c r="C24" s="160">
        <v>100</v>
      </c>
      <c r="E24" s="160">
        <v>100</v>
      </c>
      <c r="F24" s="160">
        <v>100</v>
      </c>
      <c r="G24" s="160">
        <v>100</v>
      </c>
      <c r="H24" s="160">
        <v>100</v>
      </c>
      <c r="I24" s="160">
        <v>100</v>
      </c>
      <c r="J24" s="160">
        <v>100</v>
      </c>
    </row>
    <row r="25" spans="2:11">
      <c r="B25" s="162" t="s">
        <v>252</v>
      </c>
      <c r="C25" s="162">
        <v>100</v>
      </c>
      <c r="E25" s="162">
        <v>100</v>
      </c>
      <c r="F25" s="162">
        <v>100</v>
      </c>
      <c r="G25" s="162">
        <v>100</v>
      </c>
      <c r="H25" s="162">
        <v>100</v>
      </c>
      <c r="I25" s="162">
        <v>100</v>
      </c>
      <c r="J25" s="162">
        <v>100</v>
      </c>
    </row>
    <row r="26" spans="2:11">
      <c r="B26" s="160" t="s">
        <v>253</v>
      </c>
      <c r="C26" s="160">
        <v>100</v>
      </c>
      <c r="E26" s="160">
        <v>100</v>
      </c>
      <c r="F26" s="160">
        <v>100</v>
      </c>
      <c r="G26" s="160">
        <v>100</v>
      </c>
      <c r="H26" s="160">
        <v>100</v>
      </c>
      <c r="I26" s="160">
        <v>100</v>
      </c>
      <c r="J26" s="160">
        <v>100</v>
      </c>
    </row>
    <row r="27" spans="2:11">
      <c r="B27" s="162" t="s">
        <v>254</v>
      </c>
      <c r="C27" s="162">
        <v>100</v>
      </c>
      <c r="E27" s="162">
        <v>100</v>
      </c>
      <c r="F27" s="162">
        <v>100</v>
      </c>
      <c r="G27" s="162">
        <v>100</v>
      </c>
      <c r="H27" s="162">
        <v>100</v>
      </c>
      <c r="I27" s="162">
        <v>100</v>
      </c>
      <c r="J27" s="162">
        <v>100</v>
      </c>
    </row>
    <row r="28" spans="2:11">
      <c r="B28" s="160" t="s">
        <v>255</v>
      </c>
      <c r="C28" s="160">
        <v>100</v>
      </c>
      <c r="E28" s="160">
        <v>100</v>
      </c>
      <c r="F28" s="160">
        <v>100</v>
      </c>
      <c r="G28" s="160">
        <v>100</v>
      </c>
      <c r="H28" s="160">
        <v>100</v>
      </c>
      <c r="I28" s="160">
        <v>100</v>
      </c>
      <c r="J28" s="160">
        <v>100</v>
      </c>
    </row>
    <row r="29" spans="2:11">
      <c r="B29" s="162" t="s">
        <v>256</v>
      </c>
      <c r="C29" s="162">
        <v>100</v>
      </c>
      <c r="E29" s="162">
        <v>100</v>
      </c>
      <c r="F29" s="162">
        <v>100</v>
      </c>
      <c r="G29" s="162">
        <v>100</v>
      </c>
      <c r="H29" s="162">
        <v>100</v>
      </c>
      <c r="I29" s="162">
        <v>100</v>
      </c>
      <c r="J29" s="162">
        <v>100</v>
      </c>
    </row>
    <row r="30" spans="2:11">
      <c r="B30" s="160" t="s">
        <v>257</v>
      </c>
      <c r="C30" s="160">
        <v>100</v>
      </c>
      <c r="E30" s="160">
        <v>100</v>
      </c>
      <c r="F30" s="160">
        <v>100</v>
      </c>
      <c r="G30" s="160">
        <v>100</v>
      </c>
      <c r="H30" s="160">
        <v>100</v>
      </c>
      <c r="I30" s="160">
        <v>100</v>
      </c>
      <c r="J30" s="160">
        <v>100</v>
      </c>
    </row>
    <row r="31" spans="2:11">
      <c r="B31" s="162" t="s">
        <v>258</v>
      </c>
      <c r="C31" s="162">
        <v>100</v>
      </c>
      <c r="E31" s="162">
        <v>100</v>
      </c>
      <c r="F31" s="162">
        <v>100</v>
      </c>
      <c r="G31" s="162">
        <v>100</v>
      </c>
      <c r="H31" s="162">
        <v>100</v>
      </c>
      <c r="I31" s="162">
        <v>100</v>
      </c>
      <c r="J31" s="162">
        <v>100</v>
      </c>
    </row>
    <row r="32" spans="2:11">
      <c r="B32"/>
      <c r="C32"/>
      <c r="D32"/>
    </row>
    <row r="33" spans="2:4">
      <c r="B33"/>
      <c r="C33"/>
      <c r="D33"/>
    </row>
    <row r="34" spans="2:4">
      <c r="B34"/>
      <c r="C34"/>
      <c r="D34"/>
    </row>
    <row r="35" spans="2:4">
      <c r="B35"/>
      <c r="C35"/>
      <c r="D35"/>
    </row>
    <row r="36" spans="2:4">
      <c r="B36"/>
      <c r="C36"/>
      <c r="D36"/>
    </row>
    <row r="37" spans="2:4">
      <c r="B37"/>
      <c r="C37"/>
      <c r="D37"/>
    </row>
    <row r="38" spans="2:4">
      <c r="B38"/>
      <c r="C38"/>
      <c r="D38"/>
    </row>
    <row r="39" spans="2:4">
      <c r="B39"/>
      <c r="C39"/>
      <c r="D39"/>
    </row>
    <row r="40" spans="2:4">
      <c r="B40"/>
      <c r="C40"/>
      <c r="D40"/>
    </row>
    <row r="41" spans="2:4">
      <c r="B41"/>
      <c r="C41"/>
      <c r="D41"/>
    </row>
    <row r="42" spans="2:4">
      <c r="B42"/>
      <c r="C42"/>
      <c r="D42"/>
    </row>
    <row r="43" spans="2:4">
      <c r="B43"/>
      <c r="C43"/>
      <c r="D43"/>
    </row>
    <row r="44" spans="2:4">
      <c r="B44"/>
      <c r="C44"/>
      <c r="D44"/>
    </row>
    <row r="45" spans="2:4">
      <c r="B45"/>
      <c r="C45"/>
      <c r="D45"/>
    </row>
    <row r="46" spans="2:4">
      <c r="B46"/>
      <c r="C46"/>
      <c r="D46"/>
    </row>
    <row r="47" spans="2:4">
      <c r="B47"/>
      <c r="C47"/>
      <c r="D47"/>
    </row>
  </sheetData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2646-6146-4D14-B889-3C0C97BBED9D}">
  <dimension ref="A2:P84"/>
  <sheetViews>
    <sheetView tabSelected="1" zoomScaleNormal="100" zoomScaleSheetLayoutView="50" workbookViewId="0">
      <selection activeCell="K32" sqref="K32"/>
    </sheetView>
  </sheetViews>
  <sheetFormatPr defaultColWidth="9.140625" defaultRowHeight="12.75"/>
  <cols>
    <col min="1" max="1" width="9" style="211" bestFit="1" customWidth="1"/>
    <col min="2" max="2" width="43.140625" style="211" customWidth="1"/>
    <col min="3" max="3" width="15.5703125" style="211" customWidth="1"/>
    <col min="4" max="4" width="15.7109375" style="211" customWidth="1"/>
    <col min="5" max="6" width="12.85546875" style="211" bestFit="1" customWidth="1"/>
    <col min="7" max="7" width="12.85546875" style="211" customWidth="1"/>
    <col min="8" max="8" width="12.85546875" style="211" bestFit="1" customWidth="1"/>
    <col min="9" max="9" width="12.85546875" style="211" customWidth="1"/>
    <col min="10" max="16384" width="9.140625" style="211"/>
  </cols>
  <sheetData>
    <row r="2" spans="1:16">
      <c r="A2" s="80"/>
      <c r="B2" s="80"/>
      <c r="C2" s="80"/>
      <c r="D2" s="80"/>
      <c r="E2" s="80"/>
    </row>
    <row r="3" spans="1:16">
      <c r="B3" s="84" t="s">
        <v>101</v>
      </c>
      <c r="C3" s="84"/>
      <c r="D3" s="80"/>
    </row>
    <row r="4" spans="1:16">
      <c r="B4" s="106" t="s">
        <v>6</v>
      </c>
      <c r="C4" s="106" t="s">
        <v>27</v>
      </c>
      <c r="D4" s="106">
        <v>2020</v>
      </c>
      <c r="E4" s="106">
        <v>2025</v>
      </c>
      <c r="F4" s="106">
        <v>2030</v>
      </c>
      <c r="G4" s="106">
        <v>2035</v>
      </c>
      <c r="H4" s="106">
        <v>2040</v>
      </c>
      <c r="I4" s="106">
        <v>2045</v>
      </c>
      <c r="J4" s="106">
        <v>2050</v>
      </c>
    </row>
    <row r="5" spans="1:16" ht="13.5" thickBot="1">
      <c r="B5" s="108" t="s">
        <v>276</v>
      </c>
      <c r="C5" s="108"/>
      <c r="D5" s="108" t="s">
        <v>250</v>
      </c>
      <c r="E5" s="109" t="s">
        <v>250</v>
      </c>
      <c r="F5" s="109" t="s">
        <v>250</v>
      </c>
      <c r="G5" s="109" t="s">
        <v>250</v>
      </c>
      <c r="H5" s="109" t="s">
        <v>250</v>
      </c>
      <c r="I5" s="109" t="s">
        <v>250</v>
      </c>
      <c r="J5" s="109" t="s">
        <v>250</v>
      </c>
    </row>
    <row r="6" spans="1:16" ht="15.95" customHeight="1" thickBot="1">
      <c r="B6" s="165" t="s">
        <v>263</v>
      </c>
      <c r="C6" s="165" t="s">
        <v>293</v>
      </c>
      <c r="D6" s="166">
        <v>100</v>
      </c>
      <c r="E6" s="174">
        <v>100</v>
      </c>
      <c r="F6" s="174">
        <v>100</v>
      </c>
      <c r="G6" s="174">
        <v>100</v>
      </c>
      <c r="H6" s="174">
        <v>100</v>
      </c>
      <c r="I6" s="174">
        <v>100</v>
      </c>
      <c r="J6" s="174">
        <v>100</v>
      </c>
    </row>
    <row r="7" spans="1:16" ht="15.95" customHeight="1">
      <c r="B7" s="186" t="s">
        <v>276</v>
      </c>
      <c r="C7" s="186"/>
      <c r="D7" s="280" t="s">
        <v>299</v>
      </c>
      <c r="E7" s="186"/>
      <c r="F7" s="186"/>
      <c r="G7" s="186"/>
      <c r="H7" s="186"/>
      <c r="I7" s="186"/>
      <c r="J7" s="186"/>
    </row>
    <row r="8" spans="1:16" ht="15.95" customHeight="1">
      <c r="B8" s="284" t="s">
        <v>300</v>
      </c>
      <c r="C8" s="189" t="s">
        <v>293</v>
      </c>
      <c r="D8" s="281">
        <f>D76/1000</f>
        <v>2391.308</v>
      </c>
      <c r="E8" s="284">
        <f>D8</f>
        <v>2391.308</v>
      </c>
      <c r="F8" s="189">
        <f t="shared" ref="F8:J8" si="0">E8</f>
        <v>2391.308</v>
      </c>
      <c r="G8" s="281">
        <f t="shared" si="0"/>
        <v>2391.308</v>
      </c>
      <c r="H8" s="284">
        <f t="shared" si="0"/>
        <v>2391.308</v>
      </c>
      <c r="I8" s="189">
        <f t="shared" si="0"/>
        <v>2391.308</v>
      </c>
      <c r="J8" s="281">
        <f t="shared" si="0"/>
        <v>2391.308</v>
      </c>
      <c r="K8" s="279"/>
      <c r="L8" s="279"/>
      <c r="M8" s="279"/>
      <c r="N8" s="279"/>
      <c r="O8" s="279"/>
      <c r="P8" s="279"/>
    </row>
    <row r="9" spans="1:16" ht="15.95" customHeight="1">
      <c r="B9" s="283" t="s">
        <v>301</v>
      </c>
      <c r="C9" s="188" t="s">
        <v>293</v>
      </c>
      <c r="D9" s="188">
        <f>(C76-D76)/1000</f>
        <v>3887.5880000000002</v>
      </c>
      <c r="E9" s="283">
        <f t="shared" ref="E9:J28" si="1">D9</f>
        <v>3887.5880000000002</v>
      </c>
      <c r="F9" s="188">
        <f t="shared" si="1"/>
        <v>3887.5880000000002</v>
      </c>
      <c r="G9" s="188">
        <f t="shared" si="1"/>
        <v>3887.5880000000002</v>
      </c>
      <c r="H9" s="283">
        <f t="shared" si="1"/>
        <v>3887.5880000000002</v>
      </c>
      <c r="I9" s="188">
        <f t="shared" si="1"/>
        <v>3887.5880000000002</v>
      </c>
      <c r="J9" s="188">
        <f t="shared" si="1"/>
        <v>3887.5880000000002</v>
      </c>
      <c r="K9" s="279"/>
      <c r="L9" s="279"/>
      <c r="M9" s="279"/>
      <c r="N9" s="279"/>
      <c r="O9" s="279"/>
      <c r="P9" s="279"/>
    </row>
    <row r="10" spans="1:16" s="278" customFormat="1" ht="15.95" customHeight="1">
      <c r="B10" s="282" t="s">
        <v>302</v>
      </c>
      <c r="C10" s="277" t="s">
        <v>293</v>
      </c>
      <c r="D10" s="277">
        <f>G76/1000</f>
        <v>277.85000000000002</v>
      </c>
      <c r="E10" s="278">
        <f t="shared" si="1"/>
        <v>277.85000000000002</v>
      </c>
      <c r="F10" s="278">
        <f t="shared" si="1"/>
        <v>277.85000000000002</v>
      </c>
      <c r="G10" s="278">
        <f t="shared" si="1"/>
        <v>277.85000000000002</v>
      </c>
      <c r="H10" s="278">
        <f t="shared" si="1"/>
        <v>277.85000000000002</v>
      </c>
      <c r="I10" s="278">
        <f t="shared" si="1"/>
        <v>277.85000000000002</v>
      </c>
      <c r="J10" s="278">
        <f t="shared" si="1"/>
        <v>277.85000000000002</v>
      </c>
    </row>
    <row r="11" spans="1:16" ht="15.95" customHeight="1">
      <c r="B11" s="283" t="s">
        <v>303</v>
      </c>
      <c r="C11" s="188" t="s">
        <v>293</v>
      </c>
      <c r="D11" s="188">
        <f>E76/1000</f>
        <v>11727.41</v>
      </c>
      <c r="E11" s="283">
        <f t="shared" si="1"/>
        <v>11727.41</v>
      </c>
      <c r="F11" s="188">
        <f t="shared" si="1"/>
        <v>11727.41</v>
      </c>
      <c r="G11" s="188">
        <f t="shared" si="1"/>
        <v>11727.41</v>
      </c>
      <c r="H11" s="283">
        <f t="shared" si="1"/>
        <v>11727.41</v>
      </c>
      <c r="I11" s="188">
        <f t="shared" si="1"/>
        <v>11727.41</v>
      </c>
      <c r="J11" s="188">
        <f t="shared" si="1"/>
        <v>11727.41</v>
      </c>
      <c r="K11" s="279"/>
      <c r="L11" s="279"/>
      <c r="M11" s="279"/>
      <c r="N11" s="279"/>
      <c r="O11" s="279"/>
      <c r="P11" s="279"/>
    </row>
    <row r="12" spans="1:16" ht="15.95" customHeight="1">
      <c r="B12" s="282" t="s">
        <v>304</v>
      </c>
      <c r="C12" s="277" t="s">
        <v>293</v>
      </c>
      <c r="D12" s="277">
        <f>I76/1000</f>
        <v>62.581000000000003</v>
      </c>
      <c r="E12" s="278">
        <f t="shared" si="1"/>
        <v>62.581000000000003</v>
      </c>
      <c r="F12" s="278">
        <f t="shared" si="1"/>
        <v>62.581000000000003</v>
      </c>
      <c r="G12" s="278">
        <f t="shared" si="1"/>
        <v>62.581000000000003</v>
      </c>
      <c r="H12" s="278">
        <f t="shared" si="1"/>
        <v>62.581000000000003</v>
      </c>
      <c r="I12" s="278">
        <f t="shared" si="1"/>
        <v>62.581000000000003</v>
      </c>
      <c r="J12" s="278">
        <f t="shared" si="1"/>
        <v>62.581000000000003</v>
      </c>
      <c r="K12" s="279"/>
      <c r="L12" s="279"/>
      <c r="M12" s="279"/>
      <c r="N12" s="279"/>
      <c r="O12" s="279"/>
      <c r="P12" s="279"/>
    </row>
    <row r="13" spans="1:16" ht="15.95" customHeight="1">
      <c r="B13" s="283" t="s">
        <v>305</v>
      </c>
      <c r="C13" s="188" t="s">
        <v>293</v>
      </c>
      <c r="D13" s="188">
        <f>D82/1000</f>
        <v>205774.511</v>
      </c>
      <c r="E13" s="283">
        <f t="shared" si="1"/>
        <v>205774.511</v>
      </c>
      <c r="F13" s="188">
        <f t="shared" si="1"/>
        <v>205774.511</v>
      </c>
      <c r="G13" s="188">
        <f t="shared" si="1"/>
        <v>205774.511</v>
      </c>
      <c r="H13" s="283">
        <f t="shared" si="1"/>
        <v>205774.511</v>
      </c>
      <c r="I13" s="188">
        <f t="shared" si="1"/>
        <v>205774.511</v>
      </c>
      <c r="J13" s="188">
        <f t="shared" si="1"/>
        <v>205774.511</v>
      </c>
      <c r="K13" s="279"/>
      <c r="L13" s="279"/>
      <c r="M13" s="279"/>
      <c r="N13" s="279"/>
      <c r="O13" s="279"/>
      <c r="P13" s="279"/>
    </row>
    <row r="14" spans="1:16" s="279" customFormat="1" ht="15.95" customHeight="1">
      <c r="B14" s="186" t="s">
        <v>276</v>
      </c>
      <c r="C14" s="186"/>
      <c r="D14" s="280" t="s">
        <v>389</v>
      </c>
      <c r="E14" s="186"/>
      <c r="F14" s="186"/>
      <c r="G14" s="186"/>
      <c r="H14" s="186"/>
      <c r="I14" s="186"/>
      <c r="J14" s="186"/>
    </row>
    <row r="15" spans="1:16" ht="15.95" customHeight="1">
      <c r="B15" s="284" t="s">
        <v>375</v>
      </c>
      <c r="C15" s="189" t="s">
        <v>293</v>
      </c>
      <c r="D15" s="281">
        <f>C40</f>
        <v>2373.3000000000002</v>
      </c>
      <c r="E15" s="284">
        <f t="shared" si="1"/>
        <v>2373.3000000000002</v>
      </c>
      <c r="F15" s="189">
        <f t="shared" si="1"/>
        <v>2373.3000000000002</v>
      </c>
      <c r="G15" s="281">
        <f t="shared" si="1"/>
        <v>2373.3000000000002</v>
      </c>
      <c r="H15" s="284">
        <f t="shared" si="1"/>
        <v>2373.3000000000002</v>
      </c>
      <c r="I15" s="189">
        <f t="shared" si="1"/>
        <v>2373.3000000000002</v>
      </c>
      <c r="J15" s="281">
        <f t="shared" si="1"/>
        <v>2373.3000000000002</v>
      </c>
      <c r="K15" s="279"/>
      <c r="L15" s="279"/>
      <c r="M15" s="279"/>
      <c r="N15" s="279"/>
      <c r="O15" s="279"/>
      <c r="P15" s="279"/>
    </row>
    <row r="16" spans="1:16">
      <c r="B16" s="283" t="s">
        <v>376</v>
      </c>
      <c r="C16" s="188" t="s">
        <v>293</v>
      </c>
      <c r="D16" s="188">
        <f>C44</f>
        <v>675.3</v>
      </c>
      <c r="E16" s="283">
        <f t="shared" si="1"/>
        <v>675.3</v>
      </c>
      <c r="F16" s="188">
        <f t="shared" si="1"/>
        <v>675.3</v>
      </c>
      <c r="G16" s="188">
        <f t="shared" si="1"/>
        <v>675.3</v>
      </c>
      <c r="H16" s="283">
        <f t="shared" si="1"/>
        <v>675.3</v>
      </c>
      <c r="I16" s="188">
        <f t="shared" si="1"/>
        <v>675.3</v>
      </c>
      <c r="J16" s="188">
        <f t="shared" si="1"/>
        <v>675.3</v>
      </c>
      <c r="K16" s="279"/>
      <c r="L16" s="279"/>
      <c r="M16" s="279"/>
      <c r="N16" s="279"/>
      <c r="O16" s="279"/>
      <c r="P16" s="279"/>
    </row>
    <row r="17" spans="2:16">
      <c r="B17" s="282" t="s">
        <v>377</v>
      </c>
      <c r="C17" s="277" t="s">
        <v>293</v>
      </c>
      <c r="D17" s="277">
        <f>C52</f>
        <v>946.1</v>
      </c>
      <c r="E17" s="278">
        <f t="shared" si="1"/>
        <v>946.1</v>
      </c>
      <c r="F17" s="278">
        <f t="shared" si="1"/>
        <v>946.1</v>
      </c>
      <c r="G17" s="278">
        <f t="shared" si="1"/>
        <v>946.1</v>
      </c>
      <c r="H17" s="278">
        <f t="shared" si="1"/>
        <v>946.1</v>
      </c>
      <c r="I17" s="278">
        <f t="shared" si="1"/>
        <v>946.1</v>
      </c>
      <c r="J17" s="278">
        <f t="shared" si="1"/>
        <v>946.1</v>
      </c>
      <c r="K17" s="279"/>
      <c r="L17" s="279"/>
      <c r="M17" s="279"/>
      <c r="N17" s="279"/>
      <c r="O17" s="279"/>
      <c r="P17" s="279"/>
    </row>
    <row r="18" spans="2:16">
      <c r="B18" s="283" t="s">
        <v>378</v>
      </c>
      <c r="C18" s="188" t="s">
        <v>293</v>
      </c>
      <c r="D18" s="188">
        <f>C50</f>
        <v>590.9</v>
      </c>
      <c r="E18" s="283">
        <f t="shared" si="1"/>
        <v>590.9</v>
      </c>
      <c r="F18" s="188">
        <f t="shared" si="1"/>
        <v>590.9</v>
      </c>
      <c r="G18" s="188">
        <f t="shared" si="1"/>
        <v>590.9</v>
      </c>
      <c r="H18" s="283">
        <f t="shared" si="1"/>
        <v>590.9</v>
      </c>
      <c r="I18" s="188">
        <f t="shared" si="1"/>
        <v>590.9</v>
      </c>
      <c r="J18" s="188">
        <f t="shared" si="1"/>
        <v>590.9</v>
      </c>
      <c r="K18" s="279"/>
      <c r="L18" s="279"/>
      <c r="M18" s="279"/>
      <c r="N18" s="279"/>
      <c r="O18" s="279"/>
      <c r="P18" s="279"/>
    </row>
    <row r="19" spans="2:16" s="279" customFormat="1">
      <c r="B19" s="282" t="s">
        <v>379</v>
      </c>
      <c r="C19" s="277" t="s">
        <v>293</v>
      </c>
      <c r="D19" s="277">
        <f>C48</f>
        <v>1389</v>
      </c>
      <c r="E19" s="278">
        <f t="shared" si="1"/>
        <v>1389</v>
      </c>
      <c r="F19" s="278">
        <f t="shared" si="1"/>
        <v>1389</v>
      </c>
      <c r="G19" s="278">
        <f t="shared" si="1"/>
        <v>1389</v>
      </c>
      <c r="H19" s="278">
        <f t="shared" si="1"/>
        <v>1389</v>
      </c>
      <c r="I19" s="278">
        <f t="shared" si="1"/>
        <v>1389</v>
      </c>
      <c r="J19" s="278">
        <f t="shared" si="1"/>
        <v>1389</v>
      </c>
    </row>
    <row r="20" spans="2:16" s="279" customFormat="1">
      <c r="B20" s="283" t="s">
        <v>380</v>
      </c>
      <c r="C20" s="188" t="s">
        <v>293</v>
      </c>
      <c r="D20" s="188">
        <f>C46</f>
        <v>500.1</v>
      </c>
      <c r="E20" s="283">
        <f t="shared" si="1"/>
        <v>500.1</v>
      </c>
      <c r="F20" s="188">
        <f t="shared" si="1"/>
        <v>500.1</v>
      </c>
      <c r="G20" s="188">
        <f t="shared" si="1"/>
        <v>500.1</v>
      </c>
      <c r="H20" s="283">
        <f t="shared" si="1"/>
        <v>500.1</v>
      </c>
      <c r="I20" s="188">
        <f t="shared" si="1"/>
        <v>500.1</v>
      </c>
      <c r="J20" s="188">
        <f t="shared" si="1"/>
        <v>500.1</v>
      </c>
    </row>
    <row r="21" spans="2:16" s="279" customFormat="1">
      <c r="B21" s="282" t="s">
        <v>381</v>
      </c>
      <c r="C21" s="277" t="s">
        <v>293</v>
      </c>
      <c r="D21" s="277">
        <f>C42</f>
        <v>843.6</v>
      </c>
      <c r="E21" s="278">
        <f t="shared" si="1"/>
        <v>843.6</v>
      </c>
      <c r="F21" s="278">
        <f t="shared" si="1"/>
        <v>843.6</v>
      </c>
      <c r="G21" s="278">
        <f t="shared" si="1"/>
        <v>843.6</v>
      </c>
      <c r="H21" s="278">
        <f t="shared" si="1"/>
        <v>843.6</v>
      </c>
      <c r="I21" s="278">
        <f t="shared" si="1"/>
        <v>843.6</v>
      </c>
      <c r="J21" s="278">
        <f t="shared" si="1"/>
        <v>843.6</v>
      </c>
    </row>
    <row r="22" spans="2:16" s="279" customFormat="1">
      <c r="B22" s="283" t="s">
        <v>382</v>
      </c>
      <c r="C22" s="188" t="s">
        <v>293</v>
      </c>
      <c r="D22" s="188">
        <f>C54+C56</f>
        <v>90.399999999999991</v>
      </c>
      <c r="E22" s="283">
        <f t="shared" si="1"/>
        <v>90.399999999999991</v>
      </c>
      <c r="F22" s="188">
        <f t="shared" si="1"/>
        <v>90.399999999999991</v>
      </c>
      <c r="G22" s="188">
        <f t="shared" si="1"/>
        <v>90.399999999999991</v>
      </c>
      <c r="H22" s="283">
        <f t="shared" si="1"/>
        <v>90.399999999999991</v>
      </c>
      <c r="I22" s="188">
        <f t="shared" si="1"/>
        <v>90.399999999999991</v>
      </c>
      <c r="J22" s="188">
        <f t="shared" si="1"/>
        <v>90.399999999999991</v>
      </c>
    </row>
    <row r="23" spans="2:16">
      <c r="B23" s="282" t="s">
        <v>383</v>
      </c>
      <c r="C23" s="277" t="s">
        <v>293</v>
      </c>
      <c r="D23" s="277">
        <f>C64</f>
        <v>18</v>
      </c>
      <c r="E23" s="278">
        <f t="shared" si="1"/>
        <v>18</v>
      </c>
      <c r="F23" s="278">
        <f t="shared" si="1"/>
        <v>18</v>
      </c>
      <c r="G23" s="278">
        <f t="shared" si="1"/>
        <v>18</v>
      </c>
      <c r="H23" s="278">
        <f t="shared" si="1"/>
        <v>18</v>
      </c>
      <c r="I23" s="278">
        <f t="shared" si="1"/>
        <v>18</v>
      </c>
      <c r="J23" s="278">
        <f t="shared" si="1"/>
        <v>18</v>
      </c>
      <c r="K23" s="279"/>
      <c r="L23" s="279"/>
      <c r="M23" s="279"/>
      <c r="N23" s="279"/>
      <c r="O23" s="279"/>
      <c r="P23" s="279"/>
    </row>
    <row r="24" spans="2:16">
      <c r="B24" s="283" t="s">
        <v>384</v>
      </c>
      <c r="C24" s="188" t="s">
        <v>293</v>
      </c>
      <c r="D24" s="188">
        <f>C62</f>
        <v>82.9</v>
      </c>
      <c r="E24" s="283">
        <f t="shared" si="1"/>
        <v>82.9</v>
      </c>
      <c r="F24" s="188">
        <f t="shared" si="1"/>
        <v>82.9</v>
      </c>
      <c r="G24" s="188">
        <f t="shared" si="1"/>
        <v>82.9</v>
      </c>
      <c r="H24" s="283">
        <f t="shared" si="1"/>
        <v>82.9</v>
      </c>
      <c r="I24" s="188">
        <f t="shared" si="1"/>
        <v>82.9</v>
      </c>
      <c r="J24" s="188">
        <f t="shared" si="1"/>
        <v>82.9</v>
      </c>
      <c r="K24" s="279"/>
      <c r="L24" s="279"/>
      <c r="M24" s="279"/>
      <c r="N24" s="279"/>
      <c r="O24" s="279"/>
      <c r="P24" s="279"/>
    </row>
    <row r="25" spans="2:16">
      <c r="B25" s="282" t="s">
        <v>385</v>
      </c>
      <c r="C25" s="277" t="s">
        <v>293</v>
      </c>
      <c r="D25" s="277">
        <f>C58</f>
        <v>225.7</v>
      </c>
      <c r="E25" s="278">
        <f t="shared" si="1"/>
        <v>225.7</v>
      </c>
      <c r="F25" s="278">
        <f t="shared" si="1"/>
        <v>225.7</v>
      </c>
      <c r="G25" s="278">
        <f t="shared" si="1"/>
        <v>225.7</v>
      </c>
      <c r="H25" s="278">
        <f t="shared" si="1"/>
        <v>225.7</v>
      </c>
      <c r="I25" s="278">
        <f t="shared" si="1"/>
        <v>225.7</v>
      </c>
      <c r="J25" s="278">
        <f t="shared" si="1"/>
        <v>225.7</v>
      </c>
      <c r="K25" s="279"/>
      <c r="L25" s="279"/>
      <c r="M25" s="279"/>
      <c r="N25" s="279"/>
      <c r="O25" s="279"/>
      <c r="P25" s="279"/>
    </row>
    <row r="26" spans="2:16">
      <c r="B26" s="283" t="s">
        <v>386</v>
      </c>
      <c r="C26" s="188" t="s">
        <v>293</v>
      </c>
      <c r="D26" s="188">
        <f>C60</f>
        <v>1039.3</v>
      </c>
      <c r="E26" s="283">
        <f t="shared" si="1"/>
        <v>1039.3</v>
      </c>
      <c r="F26" s="188">
        <f t="shared" si="1"/>
        <v>1039.3</v>
      </c>
      <c r="G26" s="188">
        <f t="shared" si="1"/>
        <v>1039.3</v>
      </c>
      <c r="H26" s="283">
        <f t="shared" si="1"/>
        <v>1039.3</v>
      </c>
      <c r="I26" s="188">
        <f t="shared" si="1"/>
        <v>1039.3</v>
      </c>
      <c r="J26" s="188">
        <f t="shared" si="1"/>
        <v>1039.3</v>
      </c>
      <c r="K26" s="279"/>
      <c r="L26" s="279"/>
      <c r="M26" s="279"/>
      <c r="N26" s="279"/>
      <c r="O26" s="279"/>
      <c r="P26" s="279"/>
    </row>
    <row r="27" spans="2:16">
      <c r="B27" s="282" t="s">
        <v>387</v>
      </c>
      <c r="C27" s="277" t="s">
        <v>293</v>
      </c>
      <c r="D27" s="277">
        <v>0</v>
      </c>
      <c r="E27" s="278">
        <f t="shared" si="1"/>
        <v>0</v>
      </c>
      <c r="F27" s="278">
        <f t="shared" si="1"/>
        <v>0</v>
      </c>
      <c r="G27" s="278">
        <f t="shared" si="1"/>
        <v>0</v>
      </c>
      <c r="H27" s="278">
        <f t="shared" si="1"/>
        <v>0</v>
      </c>
      <c r="I27" s="278">
        <f t="shared" si="1"/>
        <v>0</v>
      </c>
      <c r="J27" s="278">
        <f t="shared" si="1"/>
        <v>0</v>
      </c>
      <c r="K27" s="279"/>
      <c r="L27" s="279"/>
      <c r="M27" s="279"/>
      <c r="N27" s="279"/>
      <c r="O27" s="279"/>
      <c r="P27" s="279"/>
    </row>
    <row r="28" spans="2:16">
      <c r="B28" s="283" t="s">
        <v>388</v>
      </c>
      <c r="C28" s="188" t="s">
        <v>293</v>
      </c>
      <c r="D28" s="188">
        <v>0</v>
      </c>
      <c r="E28" s="283">
        <f t="shared" si="1"/>
        <v>0</v>
      </c>
      <c r="F28" s="188">
        <f t="shared" si="1"/>
        <v>0</v>
      </c>
      <c r="G28" s="188">
        <f t="shared" si="1"/>
        <v>0</v>
      </c>
      <c r="H28" s="283">
        <f t="shared" si="1"/>
        <v>0</v>
      </c>
      <c r="I28" s="188">
        <f t="shared" si="1"/>
        <v>0</v>
      </c>
      <c r="J28" s="188">
        <f t="shared" si="1"/>
        <v>0</v>
      </c>
      <c r="K28" s="279"/>
      <c r="L28" s="279"/>
      <c r="M28" s="279"/>
      <c r="N28" s="279"/>
      <c r="O28" s="279"/>
      <c r="P28" s="279"/>
    </row>
    <row r="29" spans="2:16"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</row>
    <row r="30" spans="2:16" ht="15.95" customHeight="1"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</row>
    <row r="31" spans="2:16" ht="15.95" customHeight="1"/>
    <row r="32" spans="2:16" ht="15.95" customHeight="1"/>
    <row r="33" spans="2:8" ht="15.95" customHeight="1" thickBot="1">
      <c r="B33" s="211" t="s">
        <v>349</v>
      </c>
    </row>
    <row r="34" spans="2:8">
      <c r="B34" s="244"/>
      <c r="C34" s="245"/>
      <c r="D34" s="245"/>
      <c r="E34" s="245"/>
      <c r="F34" s="245"/>
      <c r="G34" s="245"/>
      <c r="H34" s="246"/>
    </row>
    <row r="35" spans="2:8" ht="15.75">
      <c r="B35" s="247" t="s">
        <v>350</v>
      </c>
      <c r="C35" s="248"/>
      <c r="D35" s="248"/>
      <c r="E35" s="248"/>
      <c r="F35" s="248"/>
      <c r="G35" s="249"/>
      <c r="H35" s="250" t="s">
        <v>327</v>
      </c>
    </row>
    <row r="36" spans="2:8">
      <c r="B36" s="251"/>
      <c r="C36" s="249"/>
      <c r="D36" s="249"/>
      <c r="E36" s="249"/>
      <c r="F36" s="249"/>
      <c r="G36" s="249"/>
      <c r="H36" s="252"/>
    </row>
    <row r="37" spans="2:8">
      <c r="B37" s="253" t="s">
        <v>351</v>
      </c>
      <c r="C37" s="254" t="s">
        <v>352</v>
      </c>
      <c r="D37" s="254" t="s">
        <v>353</v>
      </c>
      <c r="E37" s="254" t="s">
        <v>354</v>
      </c>
      <c r="F37" s="249" t="s">
        <v>355</v>
      </c>
      <c r="G37" s="249" t="s">
        <v>356</v>
      </c>
      <c r="H37" s="252" t="s">
        <v>357</v>
      </c>
    </row>
    <row r="38" spans="2:8" ht="13.5" customHeight="1">
      <c r="B38" s="253"/>
      <c r="C38" s="254"/>
      <c r="D38" s="254"/>
      <c r="E38" s="254"/>
      <c r="F38" s="255" t="s">
        <v>358</v>
      </c>
      <c r="G38" s="255"/>
      <c r="H38" s="256"/>
    </row>
    <row r="39" spans="2:8">
      <c r="B39" s="257" t="s">
        <v>359</v>
      </c>
      <c r="C39" s="249"/>
      <c r="D39" s="249"/>
      <c r="E39" s="249"/>
      <c r="F39" s="249"/>
      <c r="G39" s="249"/>
      <c r="H39" s="252"/>
    </row>
    <row r="40" spans="2:8">
      <c r="B40" s="251" t="s">
        <v>360</v>
      </c>
      <c r="C40" s="258">
        <v>2373.3000000000002</v>
      </c>
      <c r="D40" s="249">
        <v>53.4</v>
      </c>
      <c r="E40" s="259">
        <v>126689067</v>
      </c>
      <c r="F40" s="249">
        <v>94.5</v>
      </c>
      <c r="G40" s="249">
        <v>121.6</v>
      </c>
      <c r="H40" s="252">
        <v>115</v>
      </c>
    </row>
    <row r="41" spans="2:8">
      <c r="B41" s="257" t="s">
        <v>361</v>
      </c>
      <c r="C41" s="249"/>
      <c r="D41" s="249"/>
      <c r="E41" s="249"/>
      <c r="F41" s="249"/>
      <c r="G41" s="249"/>
      <c r="H41" s="252"/>
    </row>
    <row r="42" spans="2:8">
      <c r="B42" s="251" t="s">
        <v>362</v>
      </c>
      <c r="C42" s="249">
        <v>843.6</v>
      </c>
      <c r="D42" s="249">
        <v>35.1</v>
      </c>
      <c r="E42" s="259">
        <v>29597519</v>
      </c>
      <c r="F42" s="249">
        <v>93.3</v>
      </c>
      <c r="G42" s="249">
        <v>129</v>
      </c>
      <c r="H42" s="252">
        <v>120.2</v>
      </c>
    </row>
    <row r="43" spans="2:8">
      <c r="B43" s="257" t="s">
        <v>363</v>
      </c>
      <c r="C43" s="249"/>
      <c r="D43" s="249"/>
      <c r="E43" s="249"/>
      <c r="F43" s="249"/>
      <c r="G43" s="249"/>
      <c r="H43" s="252"/>
    </row>
    <row r="44" spans="2:8">
      <c r="B44" s="251" t="s">
        <v>362</v>
      </c>
      <c r="C44" s="249">
        <v>675.3</v>
      </c>
      <c r="D44" s="249">
        <v>44.4</v>
      </c>
      <c r="E44" s="259">
        <v>30006221</v>
      </c>
      <c r="F44" s="249">
        <v>69.2</v>
      </c>
      <c r="G44" s="249">
        <v>128.30000000000001</v>
      </c>
      <c r="H44" s="252">
        <v>88.9</v>
      </c>
    </row>
    <row r="45" spans="2:8">
      <c r="B45" s="257" t="s">
        <v>364</v>
      </c>
      <c r="C45" s="249"/>
      <c r="D45" s="249"/>
      <c r="E45" s="249"/>
      <c r="F45" s="249"/>
      <c r="G45" s="249"/>
      <c r="H45" s="252"/>
    </row>
    <row r="46" spans="2:8">
      <c r="B46" s="251" t="s">
        <v>360</v>
      </c>
      <c r="C46" s="249">
        <v>500.1</v>
      </c>
      <c r="D46" s="249">
        <v>33.200000000000003</v>
      </c>
      <c r="E46" s="259">
        <v>16579863</v>
      </c>
      <c r="F46" s="249">
        <v>100.9</v>
      </c>
      <c r="G46" s="249">
        <v>133.30000000000001</v>
      </c>
      <c r="H46" s="252">
        <v>134.5</v>
      </c>
    </row>
    <row r="47" spans="2:8">
      <c r="B47" s="257" t="s">
        <v>365</v>
      </c>
      <c r="C47" s="249"/>
      <c r="D47" s="249"/>
      <c r="E47" s="249"/>
      <c r="F47" s="249"/>
      <c r="G47" s="249"/>
      <c r="H47" s="252"/>
    </row>
    <row r="48" spans="2:8">
      <c r="B48" s="251" t="s">
        <v>362</v>
      </c>
      <c r="C48" s="258">
        <v>1389</v>
      </c>
      <c r="D48" s="249">
        <v>44.6</v>
      </c>
      <c r="E48" s="259">
        <v>61952359</v>
      </c>
      <c r="F48" s="249">
        <v>105.6</v>
      </c>
      <c r="G48" s="249">
        <v>127.8</v>
      </c>
      <c r="H48" s="252">
        <v>135.19999999999999</v>
      </c>
    </row>
    <row r="49" spans="2:8">
      <c r="B49" s="257" t="s">
        <v>366</v>
      </c>
      <c r="C49" s="249"/>
      <c r="D49" s="249"/>
      <c r="E49" s="249"/>
      <c r="F49" s="249"/>
      <c r="G49" s="249"/>
      <c r="H49" s="252"/>
    </row>
    <row r="50" spans="2:8">
      <c r="B50" s="251" t="s">
        <v>362</v>
      </c>
      <c r="C50" s="249">
        <v>590.9</v>
      </c>
      <c r="D50" s="249">
        <v>35.200000000000003</v>
      </c>
      <c r="E50" s="259">
        <v>20799585</v>
      </c>
      <c r="F50" s="249">
        <v>63.4</v>
      </c>
      <c r="G50" s="249">
        <v>132.80000000000001</v>
      </c>
      <c r="H50" s="252">
        <v>84.1</v>
      </c>
    </row>
    <row r="51" spans="2:8">
      <c r="B51" s="257" t="s">
        <v>367</v>
      </c>
      <c r="C51" s="249"/>
      <c r="D51" s="249"/>
      <c r="E51" s="249"/>
      <c r="F51" s="249"/>
      <c r="G51" s="249"/>
      <c r="H51" s="252"/>
    </row>
    <row r="52" spans="2:8" ht="15">
      <c r="B52" s="251" t="s">
        <v>362</v>
      </c>
      <c r="C52" s="249">
        <v>946.1</v>
      </c>
      <c r="D52" s="249">
        <v>72.099999999999994</v>
      </c>
      <c r="E52" s="259">
        <v>68215612</v>
      </c>
      <c r="F52" s="260">
        <v>142.30000000000001</v>
      </c>
      <c r="G52" s="260">
        <v>128.30000000000001</v>
      </c>
      <c r="H52" s="261">
        <v>182.7</v>
      </c>
    </row>
    <row r="53" spans="2:8">
      <c r="B53" s="257" t="s">
        <v>368</v>
      </c>
      <c r="C53" s="249"/>
      <c r="D53" s="249"/>
      <c r="E53" s="249"/>
      <c r="F53" s="249"/>
      <c r="G53" s="249"/>
      <c r="H53" s="252"/>
    </row>
    <row r="54" spans="2:8">
      <c r="B54" s="251" t="s">
        <v>362</v>
      </c>
      <c r="C54" s="249">
        <v>67.599999999999994</v>
      </c>
      <c r="D54" s="249">
        <v>14.3</v>
      </c>
      <c r="E54" s="259">
        <v>966362</v>
      </c>
      <c r="F54" s="249">
        <v>93.4</v>
      </c>
      <c r="G54" s="249">
        <v>118.2</v>
      </c>
      <c r="H54" s="252">
        <v>110.2</v>
      </c>
    </row>
    <row r="55" spans="2:8">
      <c r="B55" s="257" t="s">
        <v>369</v>
      </c>
      <c r="C55" s="249"/>
      <c r="D55" s="249"/>
      <c r="E55" s="249"/>
      <c r="F55" s="249"/>
      <c r="G55" s="249"/>
      <c r="H55" s="252"/>
    </row>
    <row r="56" spans="2:8">
      <c r="B56" s="251" t="s">
        <v>362</v>
      </c>
      <c r="C56" s="249">
        <v>22.8</v>
      </c>
      <c r="D56" s="249">
        <v>18</v>
      </c>
      <c r="E56" s="259">
        <v>410798</v>
      </c>
      <c r="F56" s="249">
        <v>121.3</v>
      </c>
      <c r="G56" s="249">
        <v>113.2</v>
      </c>
      <c r="H56" s="252">
        <v>137.30000000000001</v>
      </c>
    </row>
    <row r="57" spans="2:8" ht="14.25">
      <c r="B57" s="257" t="s">
        <v>370</v>
      </c>
      <c r="C57" s="249"/>
      <c r="D57" s="249"/>
      <c r="E57" s="249"/>
      <c r="F57" s="249"/>
      <c r="G57" s="249"/>
      <c r="H57" s="252"/>
    </row>
    <row r="58" spans="2:8">
      <c r="B58" s="262" t="s">
        <v>360</v>
      </c>
      <c r="C58" s="263">
        <v>225.7</v>
      </c>
      <c r="D58" s="264">
        <v>348</v>
      </c>
      <c r="E58" s="265">
        <v>78485923</v>
      </c>
      <c r="F58" s="264">
        <v>74.599999999999994</v>
      </c>
      <c r="G58" s="264">
        <v>162.19999999999999</v>
      </c>
      <c r="H58" s="266">
        <v>121.1</v>
      </c>
    </row>
    <row r="59" spans="2:8">
      <c r="B59" s="257" t="s">
        <v>371</v>
      </c>
      <c r="C59" s="249"/>
      <c r="D59" s="249"/>
      <c r="E59" s="249"/>
      <c r="F59" s="249"/>
      <c r="G59" s="249"/>
      <c r="H59" s="252"/>
    </row>
    <row r="60" spans="2:8">
      <c r="B60" s="251" t="s">
        <v>362</v>
      </c>
      <c r="C60" s="258">
        <v>1039.3</v>
      </c>
      <c r="D60" s="249">
        <v>31</v>
      </c>
      <c r="E60" s="259">
        <v>32170890</v>
      </c>
      <c r="F60" s="249">
        <v>113.5</v>
      </c>
      <c r="G60" s="249">
        <v>116.5</v>
      </c>
      <c r="H60" s="252">
        <v>132.30000000000001</v>
      </c>
    </row>
    <row r="61" spans="2:8">
      <c r="B61" s="267" t="s">
        <v>372</v>
      </c>
      <c r="C61" s="268"/>
      <c r="D61" s="268"/>
      <c r="E61" s="268"/>
      <c r="F61" s="268"/>
      <c r="G61" s="268"/>
      <c r="H61" s="269"/>
    </row>
    <row r="62" spans="2:8">
      <c r="B62" s="270" t="s">
        <v>362</v>
      </c>
      <c r="C62" s="268">
        <v>82.9</v>
      </c>
      <c r="D62" s="268">
        <v>24.5</v>
      </c>
      <c r="E62" s="271">
        <v>2030301</v>
      </c>
      <c r="F62" s="268">
        <v>126</v>
      </c>
      <c r="G62" s="268">
        <v>120.1</v>
      </c>
      <c r="H62" s="269">
        <v>151.19999999999999</v>
      </c>
    </row>
    <row r="63" spans="2:8">
      <c r="B63" s="267" t="s">
        <v>373</v>
      </c>
      <c r="C63" s="268"/>
      <c r="D63" s="268"/>
      <c r="E63" s="268"/>
      <c r="F63" s="268"/>
      <c r="G63" s="268"/>
      <c r="H63" s="269"/>
    </row>
    <row r="64" spans="2:8" ht="13.5" thickBot="1">
      <c r="B64" s="272" t="s">
        <v>374</v>
      </c>
      <c r="C64" s="273">
        <v>18</v>
      </c>
      <c r="D64" s="273">
        <v>153</v>
      </c>
      <c r="E64" s="274">
        <v>2739710</v>
      </c>
      <c r="F64" s="275">
        <v>88.3</v>
      </c>
      <c r="G64" s="275">
        <v>102.7</v>
      </c>
      <c r="H64" s="276">
        <v>90.5</v>
      </c>
    </row>
    <row r="68" spans="2:9" ht="13.5" thickBot="1">
      <c r="B68" s="279" t="s">
        <v>325</v>
      </c>
      <c r="C68" s="279"/>
      <c r="D68" s="279"/>
      <c r="E68" s="279"/>
      <c r="F68" s="279"/>
      <c r="G68" s="279"/>
      <c r="H68" s="279"/>
      <c r="I68" s="279"/>
    </row>
    <row r="69" spans="2:9" ht="15.75">
      <c r="B69" s="212" t="s">
        <v>326</v>
      </c>
      <c r="C69" s="213"/>
      <c r="D69" s="213"/>
      <c r="E69" s="213"/>
      <c r="F69" s="213"/>
      <c r="G69" s="214" t="s">
        <v>327</v>
      </c>
      <c r="H69" s="215"/>
      <c r="I69" s="216"/>
    </row>
    <row r="70" spans="2:9">
      <c r="B70" s="217"/>
      <c r="C70" s="218"/>
      <c r="D70" s="218"/>
      <c r="E70" s="218"/>
      <c r="F70" s="218"/>
      <c r="G70" s="218"/>
      <c r="H70" s="218"/>
      <c r="I70" s="219"/>
    </row>
    <row r="71" spans="2:9">
      <c r="B71" s="220" t="s">
        <v>328</v>
      </c>
      <c r="C71" s="221"/>
      <c r="D71" s="221"/>
      <c r="E71" s="221"/>
      <c r="F71" s="221"/>
      <c r="G71" s="221"/>
      <c r="H71" s="221"/>
      <c r="I71" s="222"/>
    </row>
    <row r="72" spans="2:9">
      <c r="B72" s="223"/>
      <c r="C72" s="224"/>
      <c r="D72" s="224"/>
      <c r="E72" s="224"/>
      <c r="F72" s="224"/>
      <c r="G72" s="224"/>
      <c r="H72" s="224"/>
      <c r="I72" s="225"/>
    </row>
    <row r="73" spans="2:9">
      <c r="B73" s="226" t="s">
        <v>329</v>
      </c>
      <c r="C73" s="227" t="s">
        <v>330</v>
      </c>
      <c r="D73" s="227"/>
      <c r="E73" s="227" t="s">
        <v>331</v>
      </c>
      <c r="F73" s="227"/>
      <c r="G73" s="227" t="s">
        <v>332</v>
      </c>
      <c r="H73" s="228" t="s">
        <v>333</v>
      </c>
      <c r="I73" s="229" t="s">
        <v>334</v>
      </c>
    </row>
    <row r="74" spans="2:9">
      <c r="B74" s="226"/>
      <c r="C74" s="227" t="s">
        <v>335</v>
      </c>
      <c r="D74" s="228" t="s">
        <v>336</v>
      </c>
      <c r="E74" s="227" t="s">
        <v>335</v>
      </c>
      <c r="F74" s="228" t="s">
        <v>337</v>
      </c>
      <c r="G74" s="227"/>
      <c r="H74" s="228"/>
      <c r="I74" s="229"/>
    </row>
    <row r="75" spans="2:9">
      <c r="B75" s="226"/>
      <c r="C75" s="227" t="s">
        <v>338</v>
      </c>
      <c r="D75" s="227"/>
      <c r="E75" s="227"/>
      <c r="F75" s="227"/>
      <c r="G75" s="227"/>
      <c r="H75" s="227"/>
      <c r="I75" s="230" t="s">
        <v>339</v>
      </c>
    </row>
    <row r="76" spans="2:9" ht="13.5" thickBot="1">
      <c r="B76" s="231" t="s">
        <v>340</v>
      </c>
      <c r="C76" s="232">
        <v>6278896</v>
      </c>
      <c r="D76" s="232">
        <v>2391308</v>
      </c>
      <c r="E76" s="232">
        <v>11727410</v>
      </c>
      <c r="F76" s="232">
        <v>814967</v>
      </c>
      <c r="G76" s="232">
        <v>277850</v>
      </c>
      <c r="H76" s="232">
        <v>182473350</v>
      </c>
      <c r="I76" s="233">
        <v>62581</v>
      </c>
    </row>
    <row r="77" spans="2:9">
      <c r="B77" s="234" t="s">
        <v>341</v>
      </c>
      <c r="C77" s="235"/>
      <c r="D77" s="235"/>
      <c r="E77" s="235"/>
      <c r="F77" s="235"/>
      <c r="G77" s="236"/>
      <c r="H77" s="237"/>
      <c r="I77" s="238"/>
    </row>
    <row r="78" spans="2:9">
      <c r="B78" s="226" t="s">
        <v>342</v>
      </c>
      <c r="C78" s="227" t="s">
        <v>343</v>
      </c>
      <c r="D78" s="227"/>
      <c r="E78" s="227" t="s">
        <v>344</v>
      </c>
      <c r="F78" s="227"/>
      <c r="G78" s="279"/>
      <c r="H78" s="279"/>
      <c r="I78" s="239"/>
    </row>
    <row r="79" spans="2:9">
      <c r="B79" s="226"/>
      <c r="C79" s="227" t="s">
        <v>345</v>
      </c>
      <c r="D79" s="227"/>
      <c r="E79" s="227"/>
      <c r="F79" s="227"/>
      <c r="G79" s="279"/>
      <c r="H79" s="279"/>
      <c r="I79" s="239"/>
    </row>
    <row r="80" spans="2:9">
      <c r="B80" s="226"/>
      <c r="C80" s="227" t="s">
        <v>346</v>
      </c>
      <c r="D80" s="227" t="s">
        <v>347</v>
      </c>
      <c r="E80" s="227" t="s">
        <v>346</v>
      </c>
      <c r="F80" s="227" t="s">
        <v>347</v>
      </c>
      <c r="G80" s="279"/>
      <c r="H80" s="279"/>
      <c r="I80" s="239"/>
    </row>
    <row r="81" spans="2:9">
      <c r="B81" s="226"/>
      <c r="C81" s="227" t="s">
        <v>338</v>
      </c>
      <c r="D81" s="227"/>
      <c r="E81" s="227"/>
      <c r="F81" s="227"/>
      <c r="G81" s="279"/>
      <c r="H81" s="279"/>
      <c r="I81" s="239"/>
    </row>
    <row r="82" spans="2:9" ht="13.5" thickBot="1">
      <c r="B82" s="240" t="s">
        <v>348</v>
      </c>
      <c r="C82" s="241">
        <v>214987216</v>
      </c>
      <c r="D82" s="241">
        <v>205774511</v>
      </c>
      <c r="E82" s="241">
        <v>185713737</v>
      </c>
      <c r="F82" s="241">
        <v>182473350</v>
      </c>
      <c r="G82" s="242"/>
      <c r="H82" s="242"/>
      <c r="I82" s="243"/>
    </row>
    <row r="83" spans="2:9">
      <c r="B83" s="279"/>
      <c r="C83" s="279"/>
      <c r="D83" s="279"/>
      <c r="E83" s="279"/>
      <c r="F83" s="279"/>
      <c r="G83" s="279"/>
      <c r="H83" s="279"/>
      <c r="I83" s="279"/>
    </row>
    <row r="84" spans="2:9">
      <c r="B84" s="279"/>
      <c r="C84" s="279"/>
      <c r="D84" s="279"/>
      <c r="E84" s="279"/>
      <c r="F84" s="279"/>
      <c r="G84" s="279"/>
      <c r="H84" s="279"/>
      <c r="I84" s="279"/>
    </row>
  </sheetData>
  <mergeCells count="6">
    <mergeCell ref="B35:F35"/>
    <mergeCell ref="B37:B38"/>
    <mergeCell ref="C37:C38"/>
    <mergeCell ref="D37:D38"/>
    <mergeCell ref="E37:E38"/>
    <mergeCell ref="F38:H38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17F0-22BD-4039-9AA7-86C8A733CA15}">
  <dimension ref="B3:K17"/>
  <sheetViews>
    <sheetView zoomScale="115" zoomScaleNormal="115" workbookViewId="0">
      <selection activeCell="B3" sqref="B3"/>
    </sheetView>
  </sheetViews>
  <sheetFormatPr defaultColWidth="9.140625" defaultRowHeight="12.75"/>
  <cols>
    <col min="1" max="1" width="5.5703125" style="80" customWidth="1"/>
    <col min="2" max="2" width="29.42578125" style="80" bestFit="1" customWidth="1"/>
    <col min="3" max="3" width="17.140625" style="80" customWidth="1"/>
    <col min="4" max="13" width="16.140625" style="80" customWidth="1"/>
    <col min="14" max="16384" width="9.140625" style="80"/>
  </cols>
  <sheetData>
    <row r="3" spans="2:11">
      <c r="B3" s="84"/>
      <c r="C3" s="84"/>
    </row>
    <row r="4" spans="2:11" ht="15.75" customHeight="1">
      <c r="B4" s="106" t="s">
        <v>6</v>
      </c>
      <c r="C4" s="106" t="s">
        <v>27</v>
      </c>
      <c r="D4" s="106">
        <v>2020</v>
      </c>
      <c r="F4" s="106">
        <v>2025</v>
      </c>
      <c r="G4" s="106">
        <v>2030</v>
      </c>
      <c r="H4" s="106">
        <v>2035</v>
      </c>
      <c r="I4" s="106">
        <v>2040</v>
      </c>
      <c r="J4" s="106">
        <v>2045</v>
      </c>
      <c r="K4" s="106">
        <v>2050</v>
      </c>
    </row>
    <row r="5" spans="2:11" ht="15.75" customHeight="1" thickBot="1">
      <c r="B5" s="108" t="s">
        <v>276</v>
      </c>
      <c r="C5" s="108"/>
      <c r="D5" s="108" t="s">
        <v>250</v>
      </c>
      <c r="F5" s="109" t="s">
        <v>250</v>
      </c>
      <c r="G5" s="109" t="s">
        <v>250</v>
      </c>
      <c r="H5" s="109" t="s">
        <v>250</v>
      </c>
      <c r="I5" s="109" t="s">
        <v>250</v>
      </c>
      <c r="J5" s="109" t="s">
        <v>250</v>
      </c>
      <c r="K5" s="109" t="s">
        <v>250</v>
      </c>
    </row>
    <row r="6" spans="2:11" ht="15.75" customHeight="1" thickBot="1">
      <c r="B6" s="165" t="s">
        <v>263</v>
      </c>
      <c r="C6" s="165" t="s">
        <v>293</v>
      </c>
      <c r="D6" s="166">
        <v>100</v>
      </c>
      <c r="F6" s="174">
        <v>100</v>
      </c>
      <c r="G6" s="174">
        <v>100</v>
      </c>
      <c r="H6" s="174">
        <v>100</v>
      </c>
      <c r="I6" s="174">
        <v>100</v>
      </c>
      <c r="J6" s="174">
        <v>100</v>
      </c>
      <c r="K6" s="174">
        <v>100</v>
      </c>
    </row>
    <row r="7" spans="2:11" ht="26.25" thickBot="1">
      <c r="B7" s="186" t="s">
        <v>276</v>
      </c>
      <c r="C7" s="186"/>
      <c r="D7" s="186" t="s">
        <v>299</v>
      </c>
      <c r="F7" s="186"/>
      <c r="G7" s="186"/>
      <c r="H7" s="186"/>
      <c r="I7" s="186"/>
      <c r="J7" s="186"/>
      <c r="K7" s="186"/>
    </row>
    <row r="8" spans="2:11">
      <c r="B8" s="187" t="s">
        <v>300</v>
      </c>
      <c r="C8" s="187" t="s">
        <v>293</v>
      </c>
      <c r="D8" s="187">
        <v>85.388000000000005</v>
      </c>
      <c r="F8" s="187">
        <v>85.388000000000005</v>
      </c>
      <c r="G8" s="187">
        <v>85.388000000000005</v>
      </c>
      <c r="H8" s="187">
        <v>85.388000000000005</v>
      </c>
      <c r="I8" s="187">
        <v>85.388000000000005</v>
      </c>
      <c r="J8" s="187">
        <v>85.388000000000005</v>
      </c>
      <c r="K8" s="187">
        <v>85.388000000000005</v>
      </c>
    </row>
    <row r="9" spans="2:11">
      <c r="B9" s="188" t="s">
        <v>301</v>
      </c>
      <c r="C9" s="188" t="s">
        <v>293</v>
      </c>
      <c r="D9" s="188">
        <v>93.212999999999994</v>
      </c>
      <c r="F9" s="188">
        <v>93.212999999999994</v>
      </c>
      <c r="G9" s="188">
        <v>93.212999999999994</v>
      </c>
      <c r="H9" s="188">
        <v>93.212999999999994</v>
      </c>
      <c r="I9" s="188">
        <v>93.212999999999994</v>
      </c>
      <c r="J9" s="188">
        <v>93.212999999999994</v>
      </c>
      <c r="K9" s="188">
        <v>93.212999999999994</v>
      </c>
    </row>
    <row r="10" spans="2:11">
      <c r="B10" s="189" t="s">
        <v>302</v>
      </c>
      <c r="C10" s="189" t="s">
        <v>293</v>
      </c>
      <c r="D10" s="189">
        <v>79.091999999999999</v>
      </c>
      <c r="F10" s="189">
        <v>79.091999999999999</v>
      </c>
      <c r="G10" s="189">
        <v>79.091999999999999</v>
      </c>
      <c r="H10" s="189">
        <v>79.091999999999999</v>
      </c>
      <c r="I10" s="189">
        <v>79.091999999999999</v>
      </c>
      <c r="J10" s="189">
        <v>79.091999999999999</v>
      </c>
      <c r="K10" s="189">
        <v>79.091999999999999</v>
      </c>
    </row>
    <row r="11" spans="2:11">
      <c r="B11" s="188" t="s">
        <v>303</v>
      </c>
      <c r="C11" s="188" t="s">
        <v>293</v>
      </c>
      <c r="D11" s="188">
        <v>141.44300000000001</v>
      </c>
      <c r="F11" s="188">
        <v>141.44300000000001</v>
      </c>
      <c r="G11" s="188">
        <v>141.44300000000001</v>
      </c>
      <c r="H11" s="188">
        <v>141.44300000000001</v>
      </c>
      <c r="I11" s="188">
        <v>141.44300000000001</v>
      </c>
      <c r="J11" s="188">
        <v>141.44300000000001</v>
      </c>
      <c r="K11" s="188">
        <v>141.44300000000001</v>
      </c>
    </row>
    <row r="12" spans="2:11">
      <c r="B12" s="189" t="s">
        <v>304</v>
      </c>
      <c r="C12" s="189" t="s">
        <v>293</v>
      </c>
      <c r="D12" s="189">
        <v>4.9765253411344545</v>
      </c>
      <c r="F12" s="189">
        <v>4.9765253411344545</v>
      </c>
      <c r="G12" s="189">
        <v>4.9765253411344545</v>
      </c>
      <c r="H12" s="189">
        <v>4.9765253411344545</v>
      </c>
      <c r="I12" s="189">
        <v>4.9765253411344545</v>
      </c>
      <c r="J12" s="189">
        <v>4.9765253411344545</v>
      </c>
      <c r="K12" s="189">
        <v>4.9765253411344545</v>
      </c>
    </row>
    <row r="13" spans="2:11">
      <c r="B13" s="188" t="s">
        <v>319</v>
      </c>
      <c r="C13" s="188" t="s">
        <v>293</v>
      </c>
      <c r="D13" s="188">
        <v>20.306000000000001</v>
      </c>
      <c r="F13" s="188">
        <v>20.306000000000001</v>
      </c>
      <c r="G13" s="188">
        <v>20.306000000000001</v>
      </c>
      <c r="H13" s="188">
        <v>20.306000000000001</v>
      </c>
      <c r="I13" s="188">
        <v>20.306000000000001</v>
      </c>
      <c r="J13" s="188">
        <v>20.306000000000001</v>
      </c>
      <c r="K13" s="188">
        <v>20.306000000000001</v>
      </c>
    </row>
    <row r="14" spans="2:11">
      <c r="B14" s="189" t="s">
        <v>305</v>
      </c>
      <c r="C14" s="189" t="s">
        <v>293</v>
      </c>
      <c r="D14" s="189">
        <v>5170.067</v>
      </c>
      <c r="F14" s="189">
        <v>5170.067</v>
      </c>
      <c r="G14" s="189">
        <v>5170.067</v>
      </c>
      <c r="H14" s="189">
        <v>5170.067</v>
      </c>
      <c r="I14" s="189">
        <v>5170.067</v>
      </c>
      <c r="J14" s="189">
        <v>5170.067</v>
      </c>
      <c r="K14" s="189">
        <v>5170.067</v>
      </c>
    </row>
    <row r="15" spans="2:11">
      <c r="B15" s="188" t="s">
        <v>321</v>
      </c>
      <c r="C15" s="188" t="s">
        <v>293</v>
      </c>
      <c r="D15" s="188">
        <v>17.32</v>
      </c>
      <c r="F15" s="188">
        <v>17.32</v>
      </c>
      <c r="G15" s="188">
        <v>17.32</v>
      </c>
      <c r="H15" s="188">
        <v>17.32</v>
      </c>
      <c r="I15" s="188">
        <v>17.32</v>
      </c>
      <c r="J15" s="188">
        <v>17.32</v>
      </c>
      <c r="K15" s="188">
        <v>17.32</v>
      </c>
    </row>
    <row r="16" spans="2:11">
      <c r="B16" s="190" t="s">
        <v>322</v>
      </c>
      <c r="C16" s="190" t="s">
        <v>293</v>
      </c>
      <c r="D16" s="190">
        <v>16.899000000000001</v>
      </c>
      <c r="F16" s="190">
        <v>16.899000000000001</v>
      </c>
      <c r="G16" s="190">
        <v>16.899000000000001</v>
      </c>
      <c r="H16" s="190">
        <v>16.899000000000001</v>
      </c>
      <c r="I16" s="190">
        <v>16.899000000000001</v>
      </c>
      <c r="J16" s="190">
        <v>16.899000000000001</v>
      </c>
      <c r="K16" s="190">
        <v>16.899000000000001</v>
      </c>
    </row>
    <row r="17" spans="2:11" ht="13.5" thickBot="1">
      <c r="B17" s="191" t="s">
        <v>320</v>
      </c>
      <c r="C17" s="191" t="s">
        <v>293</v>
      </c>
      <c r="D17" s="191">
        <v>5628.7045253411343</v>
      </c>
      <c r="F17" s="191">
        <v>5628.7045253411343</v>
      </c>
      <c r="G17" s="191">
        <v>5628.7045253411343</v>
      </c>
      <c r="H17" s="191">
        <v>5628.7045253411343</v>
      </c>
      <c r="I17" s="191">
        <v>5628.7045253411343</v>
      </c>
      <c r="J17" s="191">
        <v>5628.7045253411343</v>
      </c>
      <c r="K17" s="191">
        <v>5628.7045253411343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0DEA-76E8-4C81-8E3D-2D49081EFFD9}">
  <dimension ref="B3:J17"/>
  <sheetViews>
    <sheetView topLeftCell="D1" zoomScale="115" zoomScaleNormal="115" workbookViewId="0">
      <selection activeCell="J10" sqref="J10"/>
    </sheetView>
  </sheetViews>
  <sheetFormatPr defaultColWidth="9.140625" defaultRowHeight="12.75"/>
  <cols>
    <col min="1" max="1" width="5.5703125" style="80" customWidth="1"/>
    <col min="2" max="3" width="17.140625" style="80" customWidth="1"/>
    <col min="4" max="13" width="16.140625" style="80" customWidth="1"/>
    <col min="14" max="16384" width="9.140625" style="80"/>
  </cols>
  <sheetData>
    <row r="3" spans="2:10">
      <c r="B3" s="84" t="s">
        <v>101</v>
      </c>
      <c r="C3" s="84"/>
    </row>
    <row r="4" spans="2:10" ht="15.75" customHeight="1">
      <c r="B4" s="106" t="s">
        <v>6</v>
      </c>
      <c r="C4" s="106" t="s">
        <v>27</v>
      </c>
      <c r="D4" s="106">
        <v>2020</v>
      </c>
      <c r="E4" s="106">
        <v>2025</v>
      </c>
      <c r="F4" s="106">
        <v>2030</v>
      </c>
      <c r="G4" s="106">
        <v>2035</v>
      </c>
      <c r="H4" s="106">
        <v>2040</v>
      </c>
      <c r="I4" s="106">
        <v>2045</v>
      </c>
      <c r="J4" s="106">
        <v>2050</v>
      </c>
    </row>
    <row r="5" spans="2:10" ht="15.75" customHeight="1" thickBot="1">
      <c r="B5" s="108" t="s">
        <v>276</v>
      </c>
      <c r="C5" s="108"/>
      <c r="D5" s="108" t="s">
        <v>250</v>
      </c>
      <c r="E5" s="108" t="s">
        <v>250</v>
      </c>
      <c r="F5" s="108" t="s">
        <v>250</v>
      </c>
      <c r="G5" s="108" t="s">
        <v>250</v>
      </c>
      <c r="H5" s="108" t="s">
        <v>250</v>
      </c>
      <c r="I5" s="108" t="s">
        <v>250</v>
      </c>
      <c r="J5" s="108" t="s">
        <v>250</v>
      </c>
    </row>
    <row r="6" spans="2:10" ht="15.75" customHeight="1" thickBot="1">
      <c r="B6" s="165" t="s">
        <v>264</v>
      </c>
      <c r="C6" s="165" t="s">
        <v>293</v>
      </c>
      <c r="D6" s="165">
        <v>100</v>
      </c>
      <c r="E6" s="165">
        <v>112.79300000000001</v>
      </c>
      <c r="F6" s="165">
        <v>121.637</v>
      </c>
      <c r="G6" s="165">
        <v>126.4</v>
      </c>
      <c r="H6" s="165">
        <v>128.595</v>
      </c>
      <c r="I6" s="165">
        <v>129.71600000000001</v>
      </c>
      <c r="J6" s="165">
        <v>130.26599999999999</v>
      </c>
    </row>
    <row r="7" spans="2:10">
      <c r="B7"/>
      <c r="C7"/>
      <c r="D7"/>
    </row>
    <row r="8" spans="2:10">
      <c r="B8"/>
      <c r="C8"/>
      <c r="D8"/>
      <c r="E8" s="192">
        <f>(E6-D6)/D6</f>
        <v>0.12793000000000007</v>
      </c>
      <c r="F8" s="192">
        <f t="shared" ref="F8:J8" si="0">(F6-E6)/E6</f>
        <v>7.8409121133403606E-2</v>
      </c>
      <c r="G8" s="192">
        <f t="shared" si="0"/>
        <v>3.9157493196971357E-2</v>
      </c>
      <c r="H8" s="192">
        <f t="shared" si="0"/>
        <v>1.7365506329113871E-2</v>
      </c>
      <c r="I8" s="192">
        <f t="shared" si="0"/>
        <v>8.7172907189238258E-3</v>
      </c>
      <c r="J8" s="192">
        <f t="shared" si="0"/>
        <v>4.2400320700606165E-3</v>
      </c>
    </row>
    <row r="9" spans="2:10">
      <c r="B9"/>
      <c r="C9"/>
      <c r="D9"/>
    </row>
    <row r="10" spans="2:10">
      <c r="B10"/>
      <c r="C10"/>
      <c r="D10"/>
      <c r="E10" s="193">
        <f>(E6-100)/100</f>
        <v>0.12793000000000007</v>
      </c>
      <c r="F10" s="193">
        <f t="shared" ref="F10:I10" si="1">(F6-100)/100</f>
        <v>0.21637000000000001</v>
      </c>
      <c r="G10" s="193">
        <f t="shared" si="1"/>
        <v>0.26400000000000007</v>
      </c>
      <c r="H10" s="193">
        <f t="shared" si="1"/>
        <v>0.28594999999999998</v>
      </c>
      <c r="I10" s="193">
        <f t="shared" si="1"/>
        <v>0.29716000000000009</v>
      </c>
      <c r="J10" s="193">
        <f>(J6-100)/100</f>
        <v>0.30265999999999993</v>
      </c>
    </row>
    <row r="11" spans="2:10">
      <c r="B11"/>
      <c r="C11"/>
      <c r="D11"/>
    </row>
    <row r="12" spans="2:10">
      <c r="B12"/>
      <c r="C12"/>
      <c r="D12"/>
    </row>
    <row r="13" spans="2:10">
      <c r="B13"/>
      <c r="C13"/>
      <c r="D13"/>
    </row>
    <row r="14" spans="2:10">
      <c r="B14"/>
      <c r="C14"/>
      <c r="D14"/>
    </row>
    <row r="15" spans="2:10">
      <c r="B15"/>
      <c r="C15"/>
      <c r="D15"/>
    </row>
    <row r="16" spans="2:10">
      <c r="B16"/>
      <c r="C16"/>
      <c r="D16"/>
    </row>
    <row r="17" spans="2:4">
      <c r="B17"/>
      <c r="C17"/>
      <c r="D17"/>
    </row>
  </sheetData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E30A-6C6B-43E6-8901-D0E11A04DD55}">
  <dimension ref="A1:F133"/>
  <sheetViews>
    <sheetView topLeftCell="A23" zoomScaleNormal="100" workbookViewId="0">
      <selection activeCell="B56" sqref="B56"/>
    </sheetView>
  </sheetViews>
  <sheetFormatPr defaultColWidth="62.140625" defaultRowHeight="23.25" customHeight="1"/>
  <cols>
    <col min="2" max="6" width="16.28515625" customWidth="1"/>
  </cols>
  <sheetData>
    <row r="1" spans="1:6" ht="23.25" customHeight="1">
      <c r="A1" s="127" t="s">
        <v>102</v>
      </c>
    </row>
    <row r="2" spans="1:6" ht="23.25" customHeight="1">
      <c r="A2" s="127" t="s">
        <v>103</v>
      </c>
    </row>
    <row r="3" spans="1:6" ht="23.25" customHeight="1">
      <c r="A3" s="128" t="s">
        <v>104</v>
      </c>
      <c r="B3" s="129" t="s">
        <v>105</v>
      </c>
      <c r="C3" s="129" t="s">
        <v>106</v>
      </c>
      <c r="D3" s="129" t="s">
        <v>105</v>
      </c>
      <c r="E3" s="129" t="s">
        <v>106</v>
      </c>
    </row>
    <row r="4" spans="1:6" ht="23.25" customHeight="1">
      <c r="A4" s="207" t="s">
        <v>107</v>
      </c>
      <c r="B4" s="130" t="s">
        <v>108</v>
      </c>
      <c r="C4" s="130" t="s">
        <v>109</v>
      </c>
      <c r="D4" s="130" t="s">
        <v>108</v>
      </c>
      <c r="E4" s="130" t="s">
        <v>109</v>
      </c>
    </row>
    <row r="5" spans="1:6" ht="23.25" customHeight="1">
      <c r="A5" s="208"/>
      <c r="B5" s="209" t="s">
        <v>20</v>
      </c>
      <c r="C5" s="210"/>
      <c r="D5" s="209" t="s">
        <v>66</v>
      </c>
      <c r="E5" s="210"/>
    </row>
    <row r="6" spans="1:6" ht="9" customHeight="1">
      <c r="A6" s="131" t="s">
        <v>110</v>
      </c>
      <c r="B6" s="132">
        <v>1.1304360000000002</v>
      </c>
      <c r="C6" s="132" t="s">
        <v>111</v>
      </c>
      <c r="D6" s="132">
        <f>IF(B6&lt;&gt;"",B6/3.6,"")</f>
        <v>0.31401000000000007</v>
      </c>
      <c r="E6" s="132" t="str">
        <f>IF(C6&lt;&gt;"",C6/3.6,"")</f>
        <v/>
      </c>
      <c r="F6" t="str">
        <f t="shared" ref="F6" si="0">IF(C6&lt;&gt;"",C6/3.6,"")</f>
        <v/>
      </c>
    </row>
    <row r="7" spans="1:6" ht="9" customHeight="1">
      <c r="A7" s="131" t="s">
        <v>112</v>
      </c>
      <c r="B7" s="132" t="s">
        <v>111</v>
      </c>
      <c r="C7" s="132" t="s">
        <v>111</v>
      </c>
      <c r="D7" s="132" t="str">
        <f t="shared" ref="D7:D70" si="1">IF(B7&lt;&gt;"",B7/3.6,"")</f>
        <v/>
      </c>
      <c r="E7" s="132" t="str">
        <f t="shared" ref="E7:E70" si="2">IF(C7&lt;&gt;"",C7/3.6,"")</f>
        <v/>
      </c>
    </row>
    <row r="8" spans="1:6" ht="9" customHeight="1">
      <c r="A8" s="131" t="s">
        <v>113</v>
      </c>
      <c r="B8" s="132" t="s">
        <v>111</v>
      </c>
      <c r="C8" s="132">
        <v>74.231964000000005</v>
      </c>
      <c r="D8" s="132" t="str">
        <f t="shared" si="1"/>
        <v/>
      </c>
      <c r="E8" s="132">
        <f t="shared" si="2"/>
        <v>20.619990000000001</v>
      </c>
    </row>
    <row r="9" spans="1:6" ht="9" customHeight="1">
      <c r="A9" s="131" t="s">
        <v>114</v>
      </c>
      <c r="B9" s="132" t="s">
        <v>111</v>
      </c>
      <c r="C9" s="132">
        <v>26.502444000000004</v>
      </c>
      <c r="D9" s="132" t="str">
        <f t="shared" si="1"/>
        <v/>
      </c>
      <c r="E9" s="132">
        <f t="shared" si="2"/>
        <v>7.3617900000000009</v>
      </c>
    </row>
    <row r="10" spans="1:6" ht="9" customHeight="1">
      <c r="A10" s="131" t="s">
        <v>115</v>
      </c>
      <c r="B10" s="132" t="s">
        <v>111</v>
      </c>
      <c r="C10" s="132" t="s">
        <v>111</v>
      </c>
      <c r="D10" s="132" t="str">
        <f t="shared" si="1"/>
        <v/>
      </c>
      <c r="E10" s="132" t="str">
        <f t="shared" si="2"/>
        <v/>
      </c>
    </row>
    <row r="11" spans="1:6" ht="9" customHeight="1">
      <c r="A11" s="131" t="s">
        <v>116</v>
      </c>
      <c r="B11" s="132">
        <v>1.1304360000000002</v>
      </c>
      <c r="C11" s="132">
        <v>47.771388000000002</v>
      </c>
      <c r="D11" s="132">
        <f t="shared" si="1"/>
        <v>0.31401000000000007</v>
      </c>
      <c r="E11" s="132">
        <f t="shared" si="2"/>
        <v>13.269830000000001</v>
      </c>
    </row>
    <row r="12" spans="1:6" ht="9" customHeight="1">
      <c r="A12" s="131" t="s">
        <v>117</v>
      </c>
      <c r="B12" s="132" t="s">
        <v>111</v>
      </c>
      <c r="C12" s="132" t="s">
        <v>111</v>
      </c>
      <c r="D12" s="132" t="str">
        <f t="shared" si="1"/>
        <v/>
      </c>
      <c r="E12" s="132" t="str">
        <f t="shared" si="2"/>
        <v/>
      </c>
    </row>
    <row r="13" spans="1:6" ht="9" customHeight="1">
      <c r="A13" s="131" t="s">
        <v>118</v>
      </c>
      <c r="B13" s="132">
        <v>1.1304360000000002</v>
      </c>
      <c r="C13" s="132">
        <v>47.771388000000002</v>
      </c>
      <c r="D13" s="132">
        <f t="shared" si="1"/>
        <v>0.31401000000000007</v>
      </c>
      <c r="E13" s="132">
        <f t="shared" si="2"/>
        <v>13.269830000000001</v>
      </c>
    </row>
    <row r="14" spans="1:6" ht="9" customHeight="1">
      <c r="A14" s="131" t="s">
        <v>119</v>
      </c>
      <c r="B14" s="132" t="s">
        <v>111</v>
      </c>
      <c r="C14" s="132" t="s">
        <v>111</v>
      </c>
      <c r="D14" s="132" t="str">
        <f t="shared" si="1"/>
        <v/>
      </c>
      <c r="E14" s="132" t="str">
        <f t="shared" si="2"/>
        <v/>
      </c>
    </row>
    <row r="15" spans="1:6" ht="9" customHeight="1">
      <c r="A15" s="131" t="s">
        <v>120</v>
      </c>
      <c r="B15" s="132">
        <v>1.1304360000000002</v>
      </c>
      <c r="C15" s="132">
        <v>47.771388000000002</v>
      </c>
      <c r="D15" s="132">
        <f t="shared" si="1"/>
        <v>0.31401000000000007</v>
      </c>
      <c r="E15" s="132">
        <f t="shared" si="2"/>
        <v>13.269830000000001</v>
      </c>
    </row>
    <row r="16" spans="1:6" ht="9" customHeight="1">
      <c r="A16" s="131" t="s">
        <v>121</v>
      </c>
      <c r="B16" s="132" t="s">
        <v>111</v>
      </c>
      <c r="C16" s="132" t="s">
        <v>111</v>
      </c>
      <c r="D16" s="132" t="str">
        <f t="shared" si="1"/>
        <v/>
      </c>
      <c r="E16" s="132" t="str">
        <f t="shared" si="2"/>
        <v/>
      </c>
    </row>
    <row r="17" spans="1:5" ht="9" customHeight="1">
      <c r="A17" s="131" t="s">
        <v>122</v>
      </c>
      <c r="B17" s="132" t="s">
        <v>111</v>
      </c>
      <c r="C17" s="132" t="s">
        <v>111</v>
      </c>
      <c r="D17" s="132" t="str">
        <f t="shared" si="1"/>
        <v/>
      </c>
      <c r="E17" s="132" t="str">
        <f t="shared" si="2"/>
        <v/>
      </c>
    </row>
    <row r="18" spans="1:5" ht="9" customHeight="1">
      <c r="A18" s="131" t="s">
        <v>123</v>
      </c>
      <c r="B18" s="132" t="s">
        <v>111</v>
      </c>
      <c r="C18" s="132" t="s">
        <v>111</v>
      </c>
      <c r="D18" s="132" t="str">
        <f t="shared" si="1"/>
        <v/>
      </c>
      <c r="E18" s="132" t="str">
        <f t="shared" si="2"/>
        <v/>
      </c>
    </row>
    <row r="19" spans="1:5" ht="9" customHeight="1">
      <c r="A19" s="131" t="s">
        <v>124</v>
      </c>
      <c r="B19" s="132">
        <v>1.7584560000000002</v>
      </c>
      <c r="C19" s="132">
        <v>4.2705359999999999</v>
      </c>
      <c r="D19" s="132">
        <f t="shared" si="1"/>
        <v>0.48846000000000006</v>
      </c>
      <c r="E19" s="132">
        <f t="shared" si="2"/>
        <v>1.1862599999999999</v>
      </c>
    </row>
    <row r="20" spans="1:5" ht="9" customHeight="1">
      <c r="A20" s="131" t="s">
        <v>125</v>
      </c>
      <c r="B20" s="132">
        <v>1.7584560000000002</v>
      </c>
      <c r="C20" s="132">
        <v>4.2705359999999999</v>
      </c>
      <c r="D20" s="132">
        <f t="shared" si="1"/>
        <v>0.48846000000000006</v>
      </c>
      <c r="E20" s="132">
        <f t="shared" si="2"/>
        <v>1.1862599999999999</v>
      </c>
    </row>
    <row r="21" spans="1:5" ht="9" customHeight="1">
      <c r="A21" s="131" t="s">
        <v>126</v>
      </c>
      <c r="B21" s="132" t="s">
        <v>111</v>
      </c>
      <c r="C21" s="132" t="s">
        <v>111</v>
      </c>
      <c r="D21" s="132" t="str">
        <f t="shared" si="1"/>
        <v/>
      </c>
      <c r="E21" s="132" t="str">
        <f t="shared" si="2"/>
        <v/>
      </c>
    </row>
    <row r="22" spans="1:5" ht="9" customHeight="1">
      <c r="A22" s="131" t="s">
        <v>127</v>
      </c>
      <c r="B22" s="132" t="s">
        <v>111</v>
      </c>
      <c r="C22" s="132" t="s">
        <v>111</v>
      </c>
      <c r="D22" s="132" t="str">
        <f t="shared" si="1"/>
        <v/>
      </c>
      <c r="E22" s="132" t="str">
        <f t="shared" si="2"/>
        <v/>
      </c>
    </row>
    <row r="23" spans="1:5" ht="9" customHeight="1">
      <c r="A23" s="131" t="s">
        <v>128</v>
      </c>
      <c r="B23" s="132" t="s">
        <v>111</v>
      </c>
      <c r="C23" s="132" t="s">
        <v>111</v>
      </c>
      <c r="D23" s="132" t="str">
        <f t="shared" si="1"/>
        <v/>
      </c>
      <c r="E23" s="132" t="str">
        <f t="shared" si="2"/>
        <v/>
      </c>
    </row>
    <row r="24" spans="1:5" ht="9" customHeight="1">
      <c r="A24" s="131" t="s">
        <v>129</v>
      </c>
      <c r="B24" s="132" t="s">
        <v>111</v>
      </c>
      <c r="C24" s="132" t="s">
        <v>111</v>
      </c>
      <c r="D24" s="132" t="str">
        <f t="shared" si="1"/>
        <v/>
      </c>
      <c r="E24" s="132" t="str">
        <f t="shared" si="2"/>
        <v/>
      </c>
    </row>
    <row r="25" spans="1:5" ht="9" customHeight="1">
      <c r="A25" s="131" t="s">
        <v>130</v>
      </c>
      <c r="B25" s="132">
        <v>1.1304360000000002</v>
      </c>
      <c r="C25" s="132" t="s">
        <v>111</v>
      </c>
      <c r="D25" s="132">
        <f t="shared" si="1"/>
        <v>0.31401000000000007</v>
      </c>
      <c r="E25" s="132" t="str">
        <f t="shared" si="2"/>
        <v/>
      </c>
    </row>
    <row r="26" spans="1:5" ht="9" customHeight="1">
      <c r="A26" s="131" t="s">
        <v>131</v>
      </c>
      <c r="B26" s="132" t="s">
        <v>111</v>
      </c>
      <c r="C26" s="132" t="s">
        <v>111</v>
      </c>
      <c r="D26" s="132" t="str">
        <f t="shared" si="1"/>
        <v/>
      </c>
      <c r="E26" s="132" t="str">
        <f t="shared" si="2"/>
        <v/>
      </c>
    </row>
    <row r="27" spans="1:5" ht="9" customHeight="1">
      <c r="A27" s="131" t="s">
        <v>132</v>
      </c>
      <c r="B27" s="132" t="s">
        <v>111</v>
      </c>
      <c r="C27" s="132">
        <v>0</v>
      </c>
      <c r="D27" s="132" t="str">
        <f t="shared" si="1"/>
        <v/>
      </c>
      <c r="E27" s="132">
        <f t="shared" si="2"/>
        <v>0</v>
      </c>
    </row>
    <row r="28" spans="1:5" ht="9" customHeight="1">
      <c r="A28" s="131" t="s">
        <v>133</v>
      </c>
      <c r="B28" s="132" t="s">
        <v>111</v>
      </c>
      <c r="C28" s="132" t="s">
        <v>111</v>
      </c>
      <c r="D28" s="132" t="str">
        <f t="shared" si="1"/>
        <v/>
      </c>
      <c r="E28" s="132" t="str">
        <f t="shared" si="2"/>
        <v/>
      </c>
    </row>
    <row r="29" spans="1:5" ht="9" customHeight="1">
      <c r="A29" s="131" t="s">
        <v>134</v>
      </c>
      <c r="B29" s="132" t="s">
        <v>111</v>
      </c>
      <c r="C29" s="132">
        <v>4.2705359999999999</v>
      </c>
      <c r="D29" s="132" t="str">
        <f t="shared" si="1"/>
        <v/>
      </c>
      <c r="E29" s="132">
        <f t="shared" si="2"/>
        <v>1.1862599999999999</v>
      </c>
    </row>
    <row r="30" spans="1:5" ht="9" customHeight="1">
      <c r="A30" s="131" t="s">
        <v>135</v>
      </c>
      <c r="B30" s="132">
        <v>0.62802000000000002</v>
      </c>
      <c r="C30" s="132" t="s">
        <v>111</v>
      </c>
      <c r="D30" s="132">
        <f t="shared" si="1"/>
        <v>0.17444999999999999</v>
      </c>
      <c r="E30" s="132" t="str">
        <f t="shared" si="2"/>
        <v/>
      </c>
    </row>
    <row r="31" spans="1:5" ht="9" customHeight="1">
      <c r="A31" s="131" t="s">
        <v>136</v>
      </c>
      <c r="B31" s="132" t="s">
        <v>111</v>
      </c>
      <c r="C31" s="132" t="s">
        <v>111</v>
      </c>
      <c r="D31" s="132" t="str">
        <f t="shared" si="1"/>
        <v/>
      </c>
      <c r="E31" s="132" t="str">
        <f t="shared" si="2"/>
        <v/>
      </c>
    </row>
    <row r="32" spans="1:5" ht="9" customHeight="1">
      <c r="A32" s="131" t="s">
        <v>137</v>
      </c>
      <c r="B32" s="132" t="s">
        <v>111</v>
      </c>
      <c r="C32" s="132" t="s">
        <v>111</v>
      </c>
      <c r="D32" s="132" t="str">
        <f t="shared" si="1"/>
        <v/>
      </c>
      <c r="E32" s="132" t="str">
        <f t="shared" si="2"/>
        <v/>
      </c>
    </row>
    <row r="33" spans="1:5" ht="9" customHeight="1">
      <c r="A33" s="131" t="s">
        <v>138</v>
      </c>
      <c r="B33" s="132" t="s">
        <v>111</v>
      </c>
      <c r="C33" s="132" t="s">
        <v>111</v>
      </c>
      <c r="D33" s="132" t="str">
        <f t="shared" si="1"/>
        <v/>
      </c>
      <c r="E33" s="132" t="str">
        <f t="shared" si="2"/>
        <v/>
      </c>
    </row>
    <row r="34" spans="1:5" ht="9" customHeight="1">
      <c r="A34" s="131" t="s">
        <v>139</v>
      </c>
      <c r="B34" s="132" t="s">
        <v>111</v>
      </c>
      <c r="C34" s="132" t="s">
        <v>111</v>
      </c>
      <c r="D34" s="132" t="str">
        <f t="shared" si="1"/>
        <v/>
      </c>
      <c r="E34" s="132" t="str">
        <f t="shared" si="2"/>
        <v/>
      </c>
    </row>
    <row r="35" spans="1:5" ht="9" customHeight="1">
      <c r="A35" s="133" t="s">
        <v>140</v>
      </c>
      <c r="B35" s="134" t="s">
        <v>111</v>
      </c>
      <c r="C35" s="134" t="s">
        <v>111</v>
      </c>
      <c r="D35" s="134" t="str">
        <f t="shared" si="1"/>
        <v/>
      </c>
      <c r="E35" s="134" t="str">
        <f t="shared" si="2"/>
        <v/>
      </c>
    </row>
    <row r="36" spans="1:5" ht="9" customHeight="1">
      <c r="A36" s="131" t="s">
        <v>141</v>
      </c>
      <c r="B36" s="132" t="s">
        <v>111</v>
      </c>
      <c r="C36" s="132" t="s">
        <v>111</v>
      </c>
      <c r="D36" s="132" t="str">
        <f t="shared" si="1"/>
        <v/>
      </c>
      <c r="E36" s="132" t="str">
        <f t="shared" si="2"/>
        <v/>
      </c>
    </row>
    <row r="37" spans="1:5" ht="9" customHeight="1">
      <c r="A37" s="131" t="s">
        <v>142</v>
      </c>
      <c r="B37" s="132" t="s">
        <v>111</v>
      </c>
      <c r="C37" s="132" t="s">
        <v>111</v>
      </c>
      <c r="D37" s="132" t="str">
        <f t="shared" si="1"/>
        <v/>
      </c>
      <c r="E37" s="132" t="str">
        <f t="shared" si="2"/>
        <v/>
      </c>
    </row>
    <row r="38" spans="1:5" ht="9" customHeight="1">
      <c r="A38" s="131" t="s">
        <v>143</v>
      </c>
      <c r="B38" s="132" t="s">
        <v>111</v>
      </c>
      <c r="C38" s="132" t="s">
        <v>111</v>
      </c>
      <c r="D38" s="132" t="str">
        <f t="shared" si="1"/>
        <v/>
      </c>
      <c r="E38" s="132" t="str">
        <f t="shared" si="2"/>
        <v/>
      </c>
    </row>
    <row r="39" spans="1:5" ht="9" customHeight="1">
      <c r="A39" s="131" t="s">
        <v>144</v>
      </c>
      <c r="B39" s="132" t="s">
        <v>111</v>
      </c>
      <c r="C39" s="132" t="s">
        <v>111</v>
      </c>
      <c r="D39" s="132" t="str">
        <f t="shared" si="1"/>
        <v/>
      </c>
      <c r="E39" s="132" t="str">
        <f t="shared" si="2"/>
        <v/>
      </c>
    </row>
    <row r="40" spans="1:5" ht="9" customHeight="1">
      <c r="A40" s="131" t="s">
        <v>145</v>
      </c>
      <c r="B40" s="132" t="s">
        <v>111</v>
      </c>
      <c r="C40" s="132" t="s">
        <v>111</v>
      </c>
      <c r="D40" s="132" t="str">
        <f t="shared" si="1"/>
        <v/>
      </c>
      <c r="E40" s="132" t="str">
        <f t="shared" si="2"/>
        <v/>
      </c>
    </row>
    <row r="41" spans="1:5" ht="9" customHeight="1">
      <c r="A41" s="131" t="s">
        <v>146</v>
      </c>
      <c r="B41" s="132" t="s">
        <v>111</v>
      </c>
      <c r="C41" s="132" t="s">
        <v>111</v>
      </c>
      <c r="D41" s="132" t="str">
        <f t="shared" si="1"/>
        <v/>
      </c>
      <c r="E41" s="132" t="str">
        <f t="shared" si="2"/>
        <v/>
      </c>
    </row>
    <row r="42" spans="1:5" ht="9" customHeight="1">
      <c r="A42" s="131" t="s">
        <v>147</v>
      </c>
      <c r="B42" s="132" t="s">
        <v>111</v>
      </c>
      <c r="C42" s="132" t="s">
        <v>111</v>
      </c>
      <c r="D42" s="132" t="str">
        <f t="shared" si="1"/>
        <v/>
      </c>
      <c r="E42" s="132" t="str">
        <f t="shared" si="2"/>
        <v/>
      </c>
    </row>
    <row r="43" spans="1:5" ht="9" customHeight="1">
      <c r="A43" s="131" t="s">
        <v>148</v>
      </c>
      <c r="B43" s="132" t="s">
        <v>111</v>
      </c>
      <c r="C43" s="132" t="s">
        <v>111</v>
      </c>
      <c r="D43" s="132" t="str">
        <f t="shared" si="1"/>
        <v/>
      </c>
      <c r="E43" s="132" t="str">
        <f t="shared" si="2"/>
        <v/>
      </c>
    </row>
    <row r="44" spans="1:5" ht="9" customHeight="1">
      <c r="A44" s="131" t="s">
        <v>149</v>
      </c>
      <c r="B44" s="132" t="s">
        <v>111</v>
      </c>
      <c r="C44" s="132" t="s">
        <v>111</v>
      </c>
      <c r="D44" s="132" t="str">
        <f t="shared" si="1"/>
        <v/>
      </c>
      <c r="E44" s="132" t="str">
        <f t="shared" si="2"/>
        <v/>
      </c>
    </row>
    <row r="45" spans="1:5" ht="9" customHeight="1">
      <c r="A45" s="131" t="s">
        <v>150</v>
      </c>
      <c r="B45" s="132" t="s">
        <v>111</v>
      </c>
      <c r="C45" s="132" t="s">
        <v>111</v>
      </c>
      <c r="D45" s="132" t="str">
        <f t="shared" si="1"/>
        <v/>
      </c>
      <c r="E45" s="132" t="str">
        <f t="shared" si="2"/>
        <v/>
      </c>
    </row>
    <row r="46" spans="1:5" ht="9" customHeight="1">
      <c r="A46" s="131" t="s">
        <v>151</v>
      </c>
      <c r="B46" s="132" t="s">
        <v>111</v>
      </c>
      <c r="C46" s="132" t="s">
        <v>111</v>
      </c>
      <c r="D46" s="132" t="str">
        <f t="shared" si="1"/>
        <v/>
      </c>
      <c r="E46" s="132" t="str">
        <f t="shared" si="2"/>
        <v/>
      </c>
    </row>
    <row r="47" spans="1:5" ht="9" customHeight="1">
      <c r="A47" s="131" t="s">
        <v>152</v>
      </c>
      <c r="B47" s="132" t="s">
        <v>111</v>
      </c>
      <c r="C47" s="132" t="s">
        <v>111</v>
      </c>
      <c r="D47" s="132" t="str">
        <f t="shared" si="1"/>
        <v/>
      </c>
      <c r="E47" s="132" t="str">
        <f t="shared" si="2"/>
        <v/>
      </c>
    </row>
    <row r="48" spans="1:5" ht="9" customHeight="1">
      <c r="A48" s="131" t="s">
        <v>153</v>
      </c>
      <c r="B48" s="132" t="s">
        <v>111</v>
      </c>
      <c r="C48" s="132" t="s">
        <v>111</v>
      </c>
      <c r="D48" s="132" t="str">
        <f t="shared" si="1"/>
        <v/>
      </c>
      <c r="E48" s="132" t="str">
        <f t="shared" si="2"/>
        <v/>
      </c>
    </row>
    <row r="49" spans="1:5" ht="9" customHeight="1">
      <c r="A49" s="131" t="s">
        <v>154</v>
      </c>
      <c r="B49" s="132">
        <v>285.87470400000001</v>
      </c>
      <c r="C49" s="132">
        <v>568.94425200000001</v>
      </c>
      <c r="D49" s="132">
        <f t="shared" si="1"/>
        <v>79.409639999999996</v>
      </c>
      <c r="E49" s="132">
        <f t="shared" si="2"/>
        <v>158.04006999999999</v>
      </c>
    </row>
    <row r="50" spans="1:5" ht="9" customHeight="1">
      <c r="A50" s="131" t="s">
        <v>125</v>
      </c>
      <c r="B50" s="132">
        <v>285.87470400000001</v>
      </c>
      <c r="C50" s="132">
        <v>568.94425200000001</v>
      </c>
      <c r="D50" s="132">
        <f t="shared" si="1"/>
        <v>79.409639999999996</v>
      </c>
      <c r="E50" s="132">
        <f t="shared" si="2"/>
        <v>158.04006999999999</v>
      </c>
    </row>
    <row r="51" spans="1:5" ht="9" customHeight="1">
      <c r="A51" s="131" t="s">
        <v>126</v>
      </c>
      <c r="B51" s="132" t="s">
        <v>111</v>
      </c>
      <c r="C51" s="132">
        <v>82.521828000000014</v>
      </c>
      <c r="D51" s="132" t="str">
        <f t="shared" si="1"/>
        <v/>
      </c>
      <c r="E51" s="132">
        <f t="shared" si="2"/>
        <v>22.922730000000005</v>
      </c>
    </row>
    <row r="52" spans="1:5" ht="9" customHeight="1">
      <c r="A52" s="131" t="s">
        <v>127</v>
      </c>
      <c r="B52" s="132">
        <v>169.816608</v>
      </c>
      <c r="C52" s="132">
        <v>415.79110800000001</v>
      </c>
      <c r="D52" s="132">
        <f t="shared" si="1"/>
        <v>47.171280000000003</v>
      </c>
      <c r="E52" s="132">
        <f t="shared" si="2"/>
        <v>115.49753</v>
      </c>
    </row>
    <row r="53" spans="1:5" ht="9" customHeight="1">
      <c r="A53" s="131" t="s">
        <v>128</v>
      </c>
      <c r="B53" s="132">
        <v>93.909924000000004</v>
      </c>
      <c r="C53" s="132" t="s">
        <v>111</v>
      </c>
      <c r="D53" s="132">
        <f t="shared" si="1"/>
        <v>26.086089999999999</v>
      </c>
      <c r="E53" s="132" t="str">
        <f t="shared" si="2"/>
        <v/>
      </c>
    </row>
    <row r="54" spans="1:5" ht="9" customHeight="1">
      <c r="A54" s="131" t="s">
        <v>129</v>
      </c>
      <c r="B54" s="132" t="s">
        <v>111</v>
      </c>
      <c r="C54" s="132">
        <v>7.0756920000000001</v>
      </c>
      <c r="D54" s="132" t="str">
        <f t="shared" si="1"/>
        <v/>
      </c>
      <c r="E54" s="132">
        <f t="shared" si="2"/>
        <v>1.9654700000000001</v>
      </c>
    </row>
    <row r="55" spans="1:5" ht="9" customHeight="1">
      <c r="A55" s="131" t="s">
        <v>130</v>
      </c>
      <c r="B55" s="132">
        <v>16.579727999999999</v>
      </c>
      <c r="C55" s="132">
        <v>60.248052000000001</v>
      </c>
      <c r="D55" s="132">
        <f t="shared" si="1"/>
        <v>4.60548</v>
      </c>
      <c r="E55" s="132">
        <f t="shared" si="2"/>
        <v>16.735569999999999</v>
      </c>
    </row>
    <row r="56" spans="1:5" ht="9" customHeight="1">
      <c r="A56" s="131" t="s">
        <v>131</v>
      </c>
      <c r="B56" s="132">
        <v>4.8985560000000001</v>
      </c>
      <c r="C56" s="132" t="s">
        <v>111</v>
      </c>
      <c r="D56" s="132">
        <f t="shared" si="1"/>
        <v>1.3607100000000001</v>
      </c>
      <c r="E56" s="132" t="str">
        <f t="shared" si="2"/>
        <v/>
      </c>
    </row>
    <row r="57" spans="1:5" ht="9" customHeight="1">
      <c r="A57" s="131" t="s">
        <v>132</v>
      </c>
      <c r="B57" s="132">
        <v>0</v>
      </c>
      <c r="C57" s="132" t="s">
        <v>111</v>
      </c>
      <c r="D57" s="132">
        <f t="shared" si="1"/>
        <v>0</v>
      </c>
      <c r="E57" s="132" t="str">
        <f t="shared" si="2"/>
        <v/>
      </c>
    </row>
    <row r="58" spans="1:5" ht="9" customHeight="1">
      <c r="A58" s="131" t="s">
        <v>133</v>
      </c>
      <c r="B58" s="132" t="s">
        <v>111</v>
      </c>
      <c r="C58" s="132" t="s">
        <v>111</v>
      </c>
      <c r="D58" s="132" t="str">
        <f t="shared" si="1"/>
        <v/>
      </c>
      <c r="E58" s="132" t="str">
        <f t="shared" si="2"/>
        <v/>
      </c>
    </row>
    <row r="59" spans="1:5" ht="9" customHeight="1">
      <c r="A59" s="131" t="s">
        <v>134</v>
      </c>
      <c r="B59" s="132" t="s">
        <v>111</v>
      </c>
      <c r="C59" s="132">
        <v>2.9307600000000003</v>
      </c>
      <c r="D59" s="132" t="str">
        <f t="shared" si="1"/>
        <v/>
      </c>
      <c r="E59" s="132">
        <f t="shared" si="2"/>
        <v>0.81410000000000005</v>
      </c>
    </row>
    <row r="60" spans="1:5" ht="9" customHeight="1">
      <c r="A60" s="131" t="s">
        <v>135</v>
      </c>
      <c r="B60" s="132">
        <v>0.62802000000000002</v>
      </c>
      <c r="C60" s="132">
        <v>0.33494400000000002</v>
      </c>
      <c r="D60" s="132">
        <f t="shared" si="1"/>
        <v>0.17444999999999999</v>
      </c>
      <c r="E60" s="132">
        <f t="shared" si="2"/>
        <v>9.3039999999999998E-2</v>
      </c>
    </row>
    <row r="61" spans="1:5" ht="9" customHeight="1">
      <c r="A61" s="131" t="s">
        <v>136</v>
      </c>
      <c r="B61" s="132" t="s">
        <v>111</v>
      </c>
      <c r="C61" s="132" t="s">
        <v>111</v>
      </c>
      <c r="D61" s="132" t="str">
        <f t="shared" si="1"/>
        <v/>
      </c>
      <c r="E61" s="132" t="str">
        <f t="shared" si="2"/>
        <v/>
      </c>
    </row>
    <row r="62" spans="1:5" ht="9" customHeight="1">
      <c r="A62" s="131" t="s">
        <v>137</v>
      </c>
      <c r="B62" s="132" t="s">
        <v>111</v>
      </c>
      <c r="C62" s="132" t="s">
        <v>111</v>
      </c>
      <c r="D62" s="132" t="str">
        <f t="shared" si="1"/>
        <v/>
      </c>
      <c r="E62" s="132" t="str">
        <f t="shared" si="2"/>
        <v/>
      </c>
    </row>
    <row r="63" spans="1:5" ht="9" customHeight="1">
      <c r="A63" s="131" t="s">
        <v>138</v>
      </c>
      <c r="B63" s="132" t="s">
        <v>111</v>
      </c>
      <c r="C63" s="132" t="s">
        <v>111</v>
      </c>
      <c r="D63" s="132" t="str">
        <f t="shared" si="1"/>
        <v/>
      </c>
      <c r="E63" s="132" t="str">
        <f t="shared" si="2"/>
        <v/>
      </c>
    </row>
    <row r="64" spans="1:5" ht="9" customHeight="1">
      <c r="A64" s="131" t="s">
        <v>139</v>
      </c>
      <c r="B64" s="132" t="s">
        <v>111</v>
      </c>
      <c r="C64" s="132" t="s">
        <v>111</v>
      </c>
      <c r="D64" s="132" t="str">
        <f t="shared" si="1"/>
        <v/>
      </c>
      <c r="E64" s="132" t="str">
        <f t="shared" si="2"/>
        <v/>
      </c>
    </row>
    <row r="65" spans="1:5" ht="9" customHeight="1">
      <c r="A65" s="133" t="s">
        <v>155</v>
      </c>
      <c r="B65" s="134" t="s">
        <v>111</v>
      </c>
      <c r="C65" s="134" t="s">
        <v>111</v>
      </c>
      <c r="D65" s="134" t="str">
        <f t="shared" si="1"/>
        <v/>
      </c>
      <c r="E65" s="134" t="str">
        <f t="shared" si="2"/>
        <v/>
      </c>
    </row>
    <row r="66" spans="1:5" ht="9" customHeight="1">
      <c r="A66" s="131" t="s">
        <v>156</v>
      </c>
      <c r="B66" s="132" t="s">
        <v>111</v>
      </c>
      <c r="C66" s="132" t="s">
        <v>111</v>
      </c>
      <c r="D66" s="132" t="str">
        <f t="shared" si="1"/>
        <v/>
      </c>
      <c r="E66" s="132" t="str">
        <f t="shared" si="2"/>
        <v/>
      </c>
    </row>
    <row r="67" spans="1:5" ht="9" customHeight="1">
      <c r="A67" s="131" t="s">
        <v>142</v>
      </c>
      <c r="B67" s="132" t="s">
        <v>111</v>
      </c>
      <c r="C67" s="132" t="s">
        <v>111</v>
      </c>
      <c r="D67" s="132" t="str">
        <f t="shared" si="1"/>
        <v/>
      </c>
      <c r="E67" s="132" t="str">
        <f t="shared" si="2"/>
        <v/>
      </c>
    </row>
    <row r="68" spans="1:5" ht="9" customHeight="1">
      <c r="A68" s="131" t="s">
        <v>143</v>
      </c>
      <c r="B68" s="132" t="s">
        <v>111</v>
      </c>
      <c r="C68" s="132" t="s">
        <v>111</v>
      </c>
      <c r="D68" s="132" t="str">
        <f t="shared" si="1"/>
        <v/>
      </c>
      <c r="E68" s="132" t="str">
        <f t="shared" si="2"/>
        <v/>
      </c>
    </row>
    <row r="69" spans="1:5" ht="9" customHeight="1">
      <c r="A69" s="131" t="s">
        <v>157</v>
      </c>
      <c r="B69" s="132" t="s">
        <v>111</v>
      </c>
      <c r="C69" s="132" t="s">
        <v>111</v>
      </c>
      <c r="D69" s="132" t="str">
        <f t="shared" si="1"/>
        <v/>
      </c>
      <c r="E69" s="132" t="str">
        <f t="shared" si="2"/>
        <v/>
      </c>
    </row>
    <row r="70" spans="1:5" ht="9" customHeight="1">
      <c r="A70" s="131" t="s">
        <v>158</v>
      </c>
      <c r="B70" s="132" t="s">
        <v>111</v>
      </c>
      <c r="C70" s="132" t="s">
        <v>111</v>
      </c>
      <c r="D70" s="132" t="str">
        <f t="shared" si="1"/>
        <v/>
      </c>
      <c r="E70" s="132" t="str">
        <f t="shared" si="2"/>
        <v/>
      </c>
    </row>
    <row r="71" spans="1:5" ht="9" customHeight="1">
      <c r="A71" s="131" t="s">
        <v>146</v>
      </c>
      <c r="B71" s="132" t="s">
        <v>111</v>
      </c>
      <c r="C71" s="132" t="s">
        <v>111</v>
      </c>
      <c r="D71" s="132" t="str">
        <f t="shared" ref="D71:D133" si="3">IF(B71&lt;&gt;"",B71/3.6,"")</f>
        <v/>
      </c>
      <c r="E71" s="132" t="str">
        <f t="shared" ref="E71:E133" si="4">IF(C71&lt;&gt;"",C71/3.6,"")</f>
        <v/>
      </c>
    </row>
    <row r="72" spans="1:5" ht="9" customHeight="1">
      <c r="A72" s="131" t="s">
        <v>147</v>
      </c>
      <c r="B72" s="132" t="s">
        <v>111</v>
      </c>
      <c r="C72" s="132" t="s">
        <v>111</v>
      </c>
      <c r="D72" s="132" t="str">
        <f t="shared" si="3"/>
        <v/>
      </c>
      <c r="E72" s="132" t="str">
        <f t="shared" si="4"/>
        <v/>
      </c>
    </row>
    <row r="73" spans="1:5" ht="9" customHeight="1">
      <c r="A73" s="131" t="s">
        <v>148</v>
      </c>
      <c r="B73" s="132" t="s">
        <v>111</v>
      </c>
      <c r="C73" s="132" t="s">
        <v>111</v>
      </c>
      <c r="D73" s="132" t="str">
        <f t="shared" si="3"/>
        <v/>
      </c>
      <c r="E73" s="132" t="str">
        <f t="shared" si="4"/>
        <v/>
      </c>
    </row>
    <row r="74" spans="1:5" ht="9" customHeight="1">
      <c r="A74" s="131" t="s">
        <v>149</v>
      </c>
      <c r="B74" s="132" t="s">
        <v>111</v>
      </c>
      <c r="C74" s="132" t="s">
        <v>111</v>
      </c>
      <c r="D74" s="132" t="str">
        <f t="shared" si="3"/>
        <v/>
      </c>
      <c r="E74" s="132" t="str">
        <f t="shared" si="4"/>
        <v/>
      </c>
    </row>
    <row r="75" spans="1:5" ht="9" customHeight="1">
      <c r="A75" s="131" t="s">
        <v>150</v>
      </c>
      <c r="B75" s="132" t="s">
        <v>111</v>
      </c>
      <c r="C75" s="132" t="s">
        <v>111</v>
      </c>
      <c r="D75" s="132" t="str">
        <f t="shared" si="3"/>
        <v/>
      </c>
      <c r="E75" s="132" t="str">
        <f t="shared" si="4"/>
        <v/>
      </c>
    </row>
    <row r="76" spans="1:5" ht="9" customHeight="1">
      <c r="A76" s="131" t="s">
        <v>151</v>
      </c>
      <c r="B76" s="132" t="s">
        <v>111</v>
      </c>
      <c r="C76" s="132" t="s">
        <v>111</v>
      </c>
      <c r="D76" s="132" t="str">
        <f t="shared" si="3"/>
        <v/>
      </c>
      <c r="E76" s="132" t="str">
        <f t="shared" si="4"/>
        <v/>
      </c>
    </row>
    <row r="77" spans="1:5" ht="9" customHeight="1">
      <c r="A77" s="131" t="s">
        <v>152</v>
      </c>
      <c r="B77" s="132" t="s">
        <v>111</v>
      </c>
      <c r="C77" s="132" t="s">
        <v>111</v>
      </c>
      <c r="D77" s="132" t="str">
        <f t="shared" si="3"/>
        <v/>
      </c>
      <c r="E77" s="132" t="str">
        <f t="shared" si="4"/>
        <v/>
      </c>
    </row>
    <row r="78" spans="1:5" ht="9" customHeight="1">
      <c r="A78" s="131" t="s">
        <v>153</v>
      </c>
      <c r="B78" s="132" t="s">
        <v>111</v>
      </c>
      <c r="C78" s="132" t="s">
        <v>111</v>
      </c>
      <c r="D78" s="132" t="str">
        <f t="shared" si="3"/>
        <v/>
      </c>
      <c r="E78" s="132" t="str">
        <f t="shared" si="4"/>
        <v/>
      </c>
    </row>
    <row r="79" spans="1:5" ht="9" customHeight="1">
      <c r="A79" s="131" t="s">
        <v>159</v>
      </c>
      <c r="B79" s="132">
        <v>25.288271999999999</v>
      </c>
      <c r="C79" s="132">
        <v>87.504120000000015</v>
      </c>
      <c r="D79" s="132">
        <f t="shared" si="3"/>
        <v>7.0245199999999999</v>
      </c>
      <c r="E79" s="132">
        <f t="shared" si="4"/>
        <v>24.306700000000003</v>
      </c>
    </row>
    <row r="80" spans="1:5" ht="9" customHeight="1">
      <c r="A80" s="131" t="s">
        <v>160</v>
      </c>
      <c r="B80" s="132">
        <v>5.7777840000000005</v>
      </c>
      <c r="C80" s="132">
        <v>42.830964000000002</v>
      </c>
      <c r="D80" s="132">
        <f t="shared" si="3"/>
        <v>1.60494</v>
      </c>
      <c r="E80" s="132">
        <f t="shared" si="4"/>
        <v>11.897489999999999</v>
      </c>
    </row>
    <row r="81" spans="1:5" ht="9" customHeight="1">
      <c r="A81" s="131" t="s">
        <v>161</v>
      </c>
      <c r="B81" s="132">
        <v>2.9726280000000003</v>
      </c>
      <c r="C81" s="132">
        <v>16.998407999999998</v>
      </c>
      <c r="D81" s="132">
        <f t="shared" si="3"/>
        <v>0.82573000000000008</v>
      </c>
      <c r="E81" s="132">
        <f t="shared" si="4"/>
        <v>4.721779999999999</v>
      </c>
    </row>
    <row r="82" spans="1:5" ht="9" customHeight="1">
      <c r="A82" s="131" t="s">
        <v>162</v>
      </c>
      <c r="B82" s="132">
        <v>4.1868000000000002E-2</v>
      </c>
      <c r="C82" s="132">
        <v>1.25604</v>
      </c>
      <c r="D82" s="132">
        <f t="shared" si="3"/>
        <v>1.163E-2</v>
      </c>
      <c r="E82" s="132">
        <f t="shared" si="4"/>
        <v>0.34889999999999999</v>
      </c>
    </row>
    <row r="83" spans="1:5" ht="9" customHeight="1">
      <c r="A83" s="131" t="s">
        <v>146</v>
      </c>
      <c r="B83" s="132" t="s">
        <v>111</v>
      </c>
      <c r="C83" s="132">
        <v>0</v>
      </c>
      <c r="D83" s="132" t="str">
        <f t="shared" si="3"/>
        <v/>
      </c>
      <c r="E83" s="132">
        <f t="shared" si="4"/>
        <v>0</v>
      </c>
    </row>
    <row r="84" spans="1:5" ht="9" customHeight="1">
      <c r="A84" s="131" t="s">
        <v>136</v>
      </c>
      <c r="B84" s="132">
        <v>0.79549200000000009</v>
      </c>
      <c r="C84" s="132">
        <v>2.386476</v>
      </c>
      <c r="D84" s="132">
        <f t="shared" si="3"/>
        <v>0.22097000000000003</v>
      </c>
      <c r="E84" s="132">
        <f t="shared" si="4"/>
        <v>0.66291</v>
      </c>
    </row>
    <row r="85" spans="1:5" ht="9" customHeight="1">
      <c r="A85" s="131" t="s">
        <v>147</v>
      </c>
      <c r="B85" s="132" t="s">
        <v>111</v>
      </c>
      <c r="C85" s="132" t="s">
        <v>111</v>
      </c>
      <c r="D85" s="132" t="str">
        <f t="shared" si="3"/>
        <v/>
      </c>
      <c r="E85" s="132" t="str">
        <f t="shared" si="4"/>
        <v/>
      </c>
    </row>
    <row r="86" spans="1:5" ht="9" customHeight="1">
      <c r="A86" s="131" t="s">
        <v>138</v>
      </c>
      <c r="B86" s="132">
        <v>0</v>
      </c>
      <c r="C86" s="132">
        <v>0.46054800000000001</v>
      </c>
      <c r="D86" s="132">
        <f t="shared" si="3"/>
        <v>0</v>
      </c>
      <c r="E86" s="132">
        <f t="shared" si="4"/>
        <v>0.12792999999999999</v>
      </c>
    </row>
    <row r="87" spans="1:5" ht="9" customHeight="1">
      <c r="A87" s="131" t="s">
        <v>137</v>
      </c>
      <c r="B87" s="132" t="s">
        <v>111</v>
      </c>
      <c r="C87" s="132" t="s">
        <v>111</v>
      </c>
      <c r="D87" s="132" t="str">
        <f t="shared" si="3"/>
        <v/>
      </c>
      <c r="E87" s="132" t="str">
        <f t="shared" si="4"/>
        <v/>
      </c>
    </row>
    <row r="88" spans="1:5" ht="9" customHeight="1">
      <c r="A88" s="133" t="s">
        <v>163</v>
      </c>
      <c r="B88" s="135">
        <v>0.33494400000000002</v>
      </c>
      <c r="C88" s="135">
        <v>6.1127279999999997</v>
      </c>
      <c r="D88" s="135">
        <f t="shared" si="3"/>
        <v>9.3039999999999998E-2</v>
      </c>
      <c r="E88" s="135">
        <f t="shared" si="4"/>
        <v>1.6979799999999998</v>
      </c>
    </row>
    <row r="89" spans="1:5" ht="9" customHeight="1">
      <c r="A89" s="131" t="s">
        <v>164</v>
      </c>
      <c r="B89" s="132" t="s">
        <v>111</v>
      </c>
      <c r="C89" s="132" t="s">
        <v>111</v>
      </c>
      <c r="D89" s="132" t="str">
        <f t="shared" si="3"/>
        <v/>
      </c>
      <c r="E89" s="132" t="str">
        <f t="shared" si="4"/>
        <v/>
      </c>
    </row>
    <row r="90" spans="1:5" ht="9" customHeight="1">
      <c r="A90" s="131" t="s">
        <v>148</v>
      </c>
      <c r="B90" s="132" t="s">
        <v>111</v>
      </c>
      <c r="C90" s="132" t="s">
        <v>111</v>
      </c>
      <c r="D90" s="132" t="str">
        <f t="shared" si="3"/>
        <v/>
      </c>
      <c r="E90" s="132" t="str">
        <f t="shared" si="4"/>
        <v/>
      </c>
    </row>
    <row r="91" spans="1:5" ht="9" customHeight="1">
      <c r="A91" s="131" t="s">
        <v>165</v>
      </c>
      <c r="B91" s="132" t="s">
        <v>111</v>
      </c>
      <c r="C91" s="132">
        <v>0.12560400000000002</v>
      </c>
      <c r="D91" s="132" t="str">
        <f t="shared" si="3"/>
        <v/>
      </c>
      <c r="E91" s="132">
        <f t="shared" si="4"/>
        <v>3.4890000000000004E-2</v>
      </c>
    </row>
    <row r="92" spans="1:5" ht="9" customHeight="1">
      <c r="A92" s="131" t="s">
        <v>166</v>
      </c>
      <c r="B92" s="132" t="s">
        <v>111</v>
      </c>
      <c r="C92" s="132" t="s">
        <v>111</v>
      </c>
      <c r="D92" s="132" t="str">
        <f t="shared" si="3"/>
        <v/>
      </c>
      <c r="E92" s="132" t="str">
        <f t="shared" si="4"/>
        <v/>
      </c>
    </row>
    <row r="93" spans="1:5" ht="9" customHeight="1">
      <c r="A93" s="131" t="s">
        <v>167</v>
      </c>
      <c r="B93" s="132" t="s">
        <v>111</v>
      </c>
      <c r="C93" s="132" t="s">
        <v>111</v>
      </c>
      <c r="D93" s="132" t="str">
        <f t="shared" si="3"/>
        <v/>
      </c>
      <c r="E93" s="132" t="str">
        <f t="shared" si="4"/>
        <v/>
      </c>
    </row>
    <row r="94" spans="1:5" ht="9" customHeight="1">
      <c r="A94" s="131" t="s">
        <v>151</v>
      </c>
      <c r="B94" s="132" t="s">
        <v>111</v>
      </c>
      <c r="C94" s="132" t="s">
        <v>111</v>
      </c>
      <c r="D94" s="132" t="str">
        <f t="shared" si="3"/>
        <v/>
      </c>
      <c r="E94" s="132" t="str">
        <f t="shared" si="4"/>
        <v/>
      </c>
    </row>
    <row r="95" spans="1:5" ht="9" customHeight="1">
      <c r="A95" s="131" t="s">
        <v>168</v>
      </c>
      <c r="B95" s="132">
        <v>15.365556</v>
      </c>
      <c r="C95" s="132">
        <v>17.291484000000001</v>
      </c>
      <c r="D95" s="132">
        <f t="shared" si="3"/>
        <v>4.2682099999999998</v>
      </c>
      <c r="E95" s="132">
        <f t="shared" si="4"/>
        <v>4.8031899999999998</v>
      </c>
    </row>
    <row r="96" spans="1:5" ht="9" customHeight="1">
      <c r="A96" s="131" t="s">
        <v>169</v>
      </c>
      <c r="B96" s="132">
        <v>25.372008000000001</v>
      </c>
      <c r="C96" s="132">
        <v>35.964612000000002</v>
      </c>
      <c r="D96" s="132">
        <f t="shared" si="3"/>
        <v>7.0477800000000004</v>
      </c>
      <c r="E96" s="132">
        <f t="shared" si="4"/>
        <v>9.9901700000000009</v>
      </c>
    </row>
    <row r="97" spans="1:5" ht="9" customHeight="1">
      <c r="A97" s="131" t="s">
        <v>170</v>
      </c>
      <c r="B97" s="132">
        <v>234.54453600000002</v>
      </c>
      <c r="C97" s="132">
        <v>488.97637200000003</v>
      </c>
      <c r="D97" s="132">
        <f t="shared" si="3"/>
        <v>65.151260000000008</v>
      </c>
      <c r="E97" s="132">
        <f t="shared" si="4"/>
        <v>135.82677000000001</v>
      </c>
    </row>
    <row r="98" spans="1:5" ht="9" customHeight="1">
      <c r="A98" s="131" t="s">
        <v>171</v>
      </c>
      <c r="B98" s="132" t="s">
        <v>111</v>
      </c>
      <c r="C98" s="132" t="s">
        <v>111</v>
      </c>
      <c r="D98" s="132" t="str">
        <f t="shared" si="3"/>
        <v/>
      </c>
      <c r="E98" s="132" t="str">
        <f t="shared" si="4"/>
        <v/>
      </c>
    </row>
    <row r="99" spans="1:5" ht="9" customHeight="1">
      <c r="A99" s="131" t="s">
        <v>172</v>
      </c>
      <c r="B99" s="132" t="s">
        <v>111</v>
      </c>
      <c r="C99" s="132" t="s">
        <v>111</v>
      </c>
      <c r="D99" s="132" t="str">
        <f t="shared" si="3"/>
        <v/>
      </c>
      <c r="E99" s="132" t="str">
        <f t="shared" si="4"/>
        <v/>
      </c>
    </row>
    <row r="100" spans="1:5" ht="9" customHeight="1">
      <c r="A100" s="131" t="s">
        <v>173</v>
      </c>
      <c r="B100" s="132" t="s">
        <v>111</v>
      </c>
      <c r="C100" s="132" t="s">
        <v>111</v>
      </c>
      <c r="D100" s="132" t="str">
        <f t="shared" si="3"/>
        <v/>
      </c>
      <c r="E100" s="132" t="str">
        <f t="shared" si="4"/>
        <v/>
      </c>
    </row>
    <row r="101" spans="1:5" ht="9" customHeight="1">
      <c r="A101" s="131" t="s">
        <v>174</v>
      </c>
      <c r="B101" s="132" t="s">
        <v>111</v>
      </c>
      <c r="C101" s="132" t="s">
        <v>111</v>
      </c>
      <c r="D101" s="132" t="str">
        <f t="shared" si="3"/>
        <v/>
      </c>
      <c r="E101" s="132" t="str">
        <f t="shared" si="4"/>
        <v/>
      </c>
    </row>
    <row r="102" spans="1:5" ht="9" customHeight="1">
      <c r="A102" s="131" t="s">
        <v>175</v>
      </c>
      <c r="B102" s="132" t="s">
        <v>111</v>
      </c>
      <c r="C102" s="132" t="s">
        <v>111</v>
      </c>
      <c r="D102" s="132" t="str">
        <f t="shared" si="3"/>
        <v/>
      </c>
      <c r="E102" s="132" t="str">
        <f t="shared" si="4"/>
        <v/>
      </c>
    </row>
    <row r="103" spans="1:5" ht="9" customHeight="1">
      <c r="A103" s="131" t="s">
        <v>176</v>
      </c>
      <c r="B103" s="132" t="s">
        <v>111</v>
      </c>
      <c r="C103" s="132" t="s">
        <v>111</v>
      </c>
      <c r="D103" s="132" t="str">
        <f t="shared" si="3"/>
        <v/>
      </c>
      <c r="E103" s="132" t="str">
        <f t="shared" si="4"/>
        <v/>
      </c>
    </row>
    <row r="104" spans="1:5" ht="9" customHeight="1">
      <c r="A104" s="131" t="s">
        <v>177</v>
      </c>
      <c r="B104" s="132" t="s">
        <v>111</v>
      </c>
      <c r="C104" s="132" t="s">
        <v>111</v>
      </c>
      <c r="D104" s="132" t="str">
        <f t="shared" si="3"/>
        <v/>
      </c>
      <c r="E104" s="132" t="str">
        <f t="shared" si="4"/>
        <v/>
      </c>
    </row>
    <row r="105" spans="1:5" s="126" customFormat="1" ht="23.25" customHeight="1">
      <c r="A105" s="133" t="s">
        <v>178</v>
      </c>
      <c r="B105" s="134">
        <v>234.54453600000002</v>
      </c>
      <c r="C105" s="134">
        <v>488.97637200000003</v>
      </c>
      <c r="D105" s="134">
        <f t="shared" si="3"/>
        <v>65.151260000000008</v>
      </c>
      <c r="E105" s="134">
        <f t="shared" si="4"/>
        <v>135.82677000000001</v>
      </c>
    </row>
    <row r="106" spans="1:5" ht="23.25" customHeight="1">
      <c r="A106" s="131" t="s">
        <v>179</v>
      </c>
      <c r="B106" s="132">
        <v>35.797139999999999</v>
      </c>
      <c r="C106" s="132">
        <v>195.52356</v>
      </c>
      <c r="D106" s="132">
        <f t="shared" si="3"/>
        <v>9.9436499999999999</v>
      </c>
      <c r="E106" s="132">
        <f t="shared" si="4"/>
        <v>54.312100000000001</v>
      </c>
    </row>
    <row r="107" spans="1:5" ht="23.25" customHeight="1">
      <c r="A107" s="131" t="s">
        <v>180</v>
      </c>
      <c r="B107" s="132">
        <v>2.9307600000000003</v>
      </c>
      <c r="C107" s="132">
        <v>20.054772</v>
      </c>
      <c r="D107" s="132">
        <f t="shared" si="3"/>
        <v>0.81410000000000005</v>
      </c>
      <c r="E107" s="132">
        <f t="shared" si="4"/>
        <v>5.5707699999999996</v>
      </c>
    </row>
    <row r="108" spans="1:5" ht="23.25" customHeight="1">
      <c r="A108" s="131" t="s">
        <v>181</v>
      </c>
      <c r="B108" s="132">
        <v>14.611932000000001</v>
      </c>
      <c r="C108" s="132">
        <v>33.033851999999996</v>
      </c>
      <c r="D108" s="132">
        <f t="shared" si="3"/>
        <v>4.0588700000000006</v>
      </c>
      <c r="E108" s="132">
        <f t="shared" si="4"/>
        <v>9.1760699999999993</v>
      </c>
    </row>
    <row r="109" spans="1:5" ht="23.25" customHeight="1">
      <c r="A109" s="131" t="s">
        <v>182</v>
      </c>
      <c r="B109" s="132">
        <v>0.92109600000000003</v>
      </c>
      <c r="C109" s="132">
        <v>8.2061280000000014</v>
      </c>
      <c r="D109" s="132">
        <f t="shared" si="3"/>
        <v>0.25585999999999998</v>
      </c>
      <c r="E109" s="132">
        <f t="shared" si="4"/>
        <v>2.2794800000000004</v>
      </c>
    </row>
    <row r="110" spans="1:5" ht="23.25" customHeight="1">
      <c r="A110" s="131" t="s">
        <v>183</v>
      </c>
      <c r="B110" s="132">
        <v>1.0467</v>
      </c>
      <c r="C110" s="132">
        <v>20.012904000000002</v>
      </c>
      <c r="D110" s="132">
        <f t="shared" si="3"/>
        <v>0.29075000000000001</v>
      </c>
      <c r="E110" s="132">
        <f t="shared" si="4"/>
        <v>5.5591400000000002</v>
      </c>
    </row>
    <row r="111" spans="1:5" ht="23.25" customHeight="1">
      <c r="A111" s="131" t="s">
        <v>184</v>
      </c>
      <c r="B111" s="132">
        <v>1.7165880000000002</v>
      </c>
      <c r="C111" s="132">
        <v>10.67634</v>
      </c>
      <c r="D111" s="132">
        <f t="shared" si="3"/>
        <v>0.47683000000000003</v>
      </c>
      <c r="E111" s="132">
        <f t="shared" si="4"/>
        <v>2.9656499999999997</v>
      </c>
    </row>
    <row r="112" spans="1:5" ht="23.25" customHeight="1">
      <c r="A112" s="131" t="s">
        <v>185</v>
      </c>
      <c r="B112" s="132">
        <v>2.0096640000000003</v>
      </c>
      <c r="C112" s="132">
        <v>16.998407999999998</v>
      </c>
      <c r="D112" s="132">
        <f t="shared" si="3"/>
        <v>0.55824000000000007</v>
      </c>
      <c r="E112" s="132">
        <f t="shared" si="4"/>
        <v>4.721779999999999</v>
      </c>
    </row>
    <row r="113" spans="1:5" ht="23.25" customHeight="1">
      <c r="A113" s="131" t="s">
        <v>186</v>
      </c>
      <c r="B113" s="132">
        <v>2.4702120000000001</v>
      </c>
      <c r="C113" s="132">
        <v>9.9645840000000003</v>
      </c>
      <c r="D113" s="132">
        <f t="shared" si="3"/>
        <v>0.68617000000000006</v>
      </c>
      <c r="E113" s="132">
        <f t="shared" si="4"/>
        <v>2.7679399999999998</v>
      </c>
    </row>
    <row r="114" spans="1:5" ht="23.25" customHeight="1">
      <c r="A114" s="131" t="s">
        <v>187</v>
      </c>
      <c r="B114" s="132">
        <v>2.386476</v>
      </c>
      <c r="C114" s="132">
        <v>26.753652000000002</v>
      </c>
      <c r="D114" s="132">
        <f t="shared" si="3"/>
        <v>0.66291</v>
      </c>
      <c r="E114" s="132">
        <f t="shared" si="4"/>
        <v>7.4315700000000007</v>
      </c>
    </row>
    <row r="115" spans="1:5" ht="23.25" customHeight="1">
      <c r="A115" s="131" t="s">
        <v>188</v>
      </c>
      <c r="B115" s="132">
        <v>3.0563639999999999</v>
      </c>
      <c r="C115" s="132">
        <v>17.710163999999999</v>
      </c>
      <c r="D115" s="132">
        <f t="shared" si="3"/>
        <v>0.84898999999999991</v>
      </c>
      <c r="E115" s="132">
        <f t="shared" si="4"/>
        <v>4.9194899999999997</v>
      </c>
    </row>
    <row r="116" spans="1:5" ht="23.25" customHeight="1">
      <c r="A116" s="131" t="s">
        <v>189</v>
      </c>
      <c r="B116" s="132">
        <v>3.0144960000000003</v>
      </c>
      <c r="C116" s="132">
        <v>8.7922799999999999</v>
      </c>
      <c r="D116" s="132">
        <f t="shared" si="3"/>
        <v>0.8373600000000001</v>
      </c>
      <c r="E116" s="132">
        <f t="shared" si="4"/>
        <v>2.4422999999999999</v>
      </c>
    </row>
    <row r="117" spans="1:5" ht="23.25" customHeight="1">
      <c r="A117" s="131" t="s">
        <v>190</v>
      </c>
      <c r="B117" s="132">
        <v>0.293076</v>
      </c>
      <c r="C117" s="132">
        <v>1.3816440000000001</v>
      </c>
      <c r="D117" s="132">
        <f t="shared" si="3"/>
        <v>8.1409999999999996E-2</v>
      </c>
      <c r="E117" s="132">
        <f t="shared" si="4"/>
        <v>0.38379000000000002</v>
      </c>
    </row>
    <row r="118" spans="1:5" ht="23.25" customHeight="1">
      <c r="A118" s="131" t="s">
        <v>191</v>
      </c>
      <c r="B118" s="132">
        <v>0.293076</v>
      </c>
      <c r="C118" s="132">
        <v>2.0933999999999999</v>
      </c>
      <c r="D118" s="132">
        <f t="shared" si="3"/>
        <v>8.1409999999999996E-2</v>
      </c>
      <c r="E118" s="132">
        <f t="shared" si="4"/>
        <v>0.58150000000000002</v>
      </c>
    </row>
    <row r="119" spans="1:5" ht="23.25" customHeight="1">
      <c r="A119" s="131" t="s">
        <v>192</v>
      </c>
      <c r="B119" s="132">
        <v>1.0048320000000002</v>
      </c>
      <c r="C119" s="132">
        <v>19.803564000000001</v>
      </c>
      <c r="D119" s="132">
        <f t="shared" si="3"/>
        <v>0.27912000000000003</v>
      </c>
      <c r="E119" s="132">
        <f t="shared" si="4"/>
        <v>5.5009900000000007</v>
      </c>
    </row>
    <row r="120" spans="1:5" ht="23.25" customHeight="1">
      <c r="A120" s="131" t="s">
        <v>193</v>
      </c>
      <c r="B120" s="132" t="s">
        <v>111</v>
      </c>
      <c r="C120" s="132">
        <v>11.429964</v>
      </c>
      <c r="D120" s="132" t="str">
        <f t="shared" si="3"/>
        <v/>
      </c>
      <c r="E120" s="132">
        <f t="shared" si="4"/>
        <v>3.1749899999999998</v>
      </c>
    </row>
    <row r="121" spans="1:5" ht="23.25" customHeight="1">
      <c r="A121" s="131" t="s">
        <v>194</v>
      </c>
      <c r="B121" s="132" t="s">
        <v>111</v>
      </c>
      <c r="C121" s="132">
        <v>10.425132000000001</v>
      </c>
      <c r="D121" s="132" t="str">
        <f t="shared" si="3"/>
        <v/>
      </c>
      <c r="E121" s="132">
        <f t="shared" si="4"/>
        <v>2.8958700000000004</v>
      </c>
    </row>
    <row r="122" spans="1:5" ht="23.25" customHeight="1">
      <c r="A122" s="131" t="s">
        <v>195</v>
      </c>
      <c r="B122" s="132" t="s">
        <v>111</v>
      </c>
      <c r="C122" s="132">
        <v>0.25120800000000004</v>
      </c>
      <c r="D122" s="132" t="str">
        <f t="shared" si="3"/>
        <v/>
      </c>
      <c r="E122" s="132">
        <f t="shared" si="4"/>
        <v>6.9780000000000009E-2</v>
      </c>
    </row>
    <row r="123" spans="1:5" ht="23.25" customHeight="1">
      <c r="A123" s="131" t="s">
        <v>196</v>
      </c>
      <c r="B123" s="132" t="s">
        <v>111</v>
      </c>
      <c r="C123" s="132" t="s">
        <v>111</v>
      </c>
      <c r="D123" s="132" t="str">
        <f t="shared" si="3"/>
        <v/>
      </c>
      <c r="E123" s="132" t="str">
        <f t="shared" si="4"/>
        <v/>
      </c>
    </row>
    <row r="124" spans="1:5" ht="23.25" customHeight="1">
      <c r="A124" s="131" t="s">
        <v>197</v>
      </c>
      <c r="B124" s="132" t="s">
        <v>111</v>
      </c>
      <c r="C124" s="132" t="s">
        <v>111</v>
      </c>
      <c r="D124" s="132" t="str">
        <f t="shared" si="3"/>
        <v/>
      </c>
      <c r="E124" s="132" t="str">
        <f t="shared" si="4"/>
        <v/>
      </c>
    </row>
    <row r="125" spans="1:5" ht="23.25" customHeight="1">
      <c r="A125" s="131" t="s">
        <v>198</v>
      </c>
      <c r="B125" s="132" t="s">
        <v>111</v>
      </c>
      <c r="C125" s="132">
        <v>0.75362400000000007</v>
      </c>
      <c r="D125" s="132" t="str">
        <f t="shared" si="3"/>
        <v/>
      </c>
      <c r="E125" s="132">
        <f t="shared" si="4"/>
        <v>0.20934000000000003</v>
      </c>
    </row>
    <row r="126" spans="1:5" ht="23.25" customHeight="1">
      <c r="A126" s="131" t="s">
        <v>199</v>
      </c>
      <c r="B126" s="132" t="s">
        <v>111</v>
      </c>
      <c r="C126" s="132" t="s">
        <v>111</v>
      </c>
      <c r="D126" s="132" t="str">
        <f t="shared" si="3"/>
        <v/>
      </c>
      <c r="E126" s="132" t="str">
        <f t="shared" si="4"/>
        <v/>
      </c>
    </row>
    <row r="127" spans="1:5" ht="23.25" customHeight="1">
      <c r="A127" s="131" t="s">
        <v>200</v>
      </c>
      <c r="B127" s="132">
        <v>198.74739600000001</v>
      </c>
      <c r="C127" s="132">
        <v>282.06471600000003</v>
      </c>
      <c r="D127" s="132">
        <f t="shared" si="3"/>
        <v>55.207610000000003</v>
      </c>
      <c r="E127" s="132">
        <f t="shared" si="4"/>
        <v>78.351310000000012</v>
      </c>
    </row>
    <row r="128" spans="1:5" ht="23.25" customHeight="1">
      <c r="A128" s="131" t="s">
        <v>201</v>
      </c>
      <c r="B128" s="132">
        <v>45.719856</v>
      </c>
      <c r="C128" s="132">
        <v>167.38826399999999</v>
      </c>
      <c r="D128" s="132">
        <f t="shared" si="3"/>
        <v>12.699959999999999</v>
      </c>
      <c r="E128" s="132">
        <f t="shared" si="4"/>
        <v>46.496739999999996</v>
      </c>
    </row>
    <row r="129" spans="1:5" ht="23.25" customHeight="1">
      <c r="A129" s="131" t="s">
        <v>202</v>
      </c>
      <c r="B129" s="132">
        <v>152.27391599999999</v>
      </c>
      <c r="C129" s="132">
        <v>108.01944</v>
      </c>
      <c r="D129" s="132">
        <f t="shared" si="3"/>
        <v>42.298309999999994</v>
      </c>
      <c r="E129" s="132">
        <f t="shared" si="4"/>
        <v>30.005400000000002</v>
      </c>
    </row>
    <row r="130" spans="1:5" ht="23.25" customHeight="1">
      <c r="A130" s="131" t="s">
        <v>203</v>
      </c>
      <c r="B130" s="132">
        <v>0.79549200000000009</v>
      </c>
      <c r="C130" s="132">
        <v>6.6151439999999999</v>
      </c>
      <c r="D130" s="132">
        <f t="shared" si="3"/>
        <v>0.22097000000000003</v>
      </c>
      <c r="E130" s="132">
        <f t="shared" si="4"/>
        <v>1.83754</v>
      </c>
    </row>
    <row r="131" spans="1:5" ht="23.25" customHeight="1">
      <c r="A131" s="131" t="s">
        <v>204</v>
      </c>
      <c r="B131" s="132" t="s">
        <v>111</v>
      </c>
      <c r="C131" s="132">
        <v>4.1868000000000002E-2</v>
      </c>
      <c r="D131" s="132" t="str">
        <f t="shared" si="3"/>
        <v/>
      </c>
      <c r="E131" s="132">
        <f t="shared" si="4"/>
        <v>1.163E-2</v>
      </c>
    </row>
    <row r="132" spans="1:5" ht="23.25" customHeight="1">
      <c r="A132" s="131" t="s">
        <v>205</v>
      </c>
      <c r="B132" s="132" t="s">
        <v>111</v>
      </c>
      <c r="C132" s="132" t="s">
        <v>111</v>
      </c>
      <c r="D132" s="132" t="str">
        <f t="shared" si="3"/>
        <v/>
      </c>
      <c r="E132" s="132" t="str">
        <f t="shared" si="4"/>
        <v/>
      </c>
    </row>
    <row r="133" spans="1:5" ht="23.25" customHeight="1">
      <c r="A133" s="131" t="s">
        <v>206</v>
      </c>
      <c r="B133" s="132">
        <v>0</v>
      </c>
      <c r="C133" s="132" t="s">
        <v>111</v>
      </c>
      <c r="D133" s="132">
        <f t="shared" si="3"/>
        <v>0</v>
      </c>
      <c r="E133" s="132" t="str">
        <f t="shared" si="4"/>
        <v/>
      </c>
    </row>
  </sheetData>
  <mergeCells count="3">
    <mergeCell ref="A4:A5"/>
    <mergeCell ref="D5:E5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8e60135c9ff18117bb10fbbf3d19053f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d29e1eae29b28bc967f17f2b3cf6e7c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708d6b01-37ca-4db4-bc7f-9b68f32c58b8"/>
    <ds:schemaRef ds:uri="8acd6055-54fc-4ce7-b3df-0a09834a032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EC030B7-A569-4FA3-95B6-AB42D36D4A5C}"/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Metadane</vt:lpstr>
      <vt:lpstr>SEC_Comm</vt:lpstr>
      <vt:lpstr>SEC_Processes</vt:lpstr>
      <vt:lpstr>END_USE_TECH</vt:lpstr>
      <vt:lpstr>HEAT_DEMAND</vt:lpstr>
      <vt:lpstr>ELC_DEMAND</vt:lpstr>
      <vt:lpstr>TFM_DEMAND</vt:lpstr>
      <vt:lpstr>RSD_DEMAND</vt:lpstr>
      <vt:lpstr>IND_DEMAND</vt:lpstr>
      <vt:lpstr>AGR_DEMAND</vt:lpstr>
      <vt:lpstr>OLD_AGR_DEMAND</vt:lpstr>
      <vt:lpstr>COM_DEMAND</vt:lpstr>
      <vt:lpstr>GUS_2020_HT_ELC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2026-01-01T12:56:17Z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Order">
    <vt:r8>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SaveCode">
    <vt:r8>827022969722747</vt:r8>
  </property>
</Properties>
</file>