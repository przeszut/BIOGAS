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5/TIMES-PL - INTEGRACJA 2025/SubRES_TMPL/"/>
    </mc:Choice>
  </mc:AlternateContent>
  <xr:revisionPtr revIDLastSave="190" documentId="8_{F702F2C1-FA91-48A8-A724-5F0FE1FC2207}" xr6:coauthVersionLast="47" xr6:coauthVersionMax="47" xr10:uidLastSave="{61C94E1D-EA5C-4E99-AC86-F174475318DE}"/>
  <bookViews>
    <workbookView xWindow="-120" yWindow="-120" windowWidth="38640" windowHeight="21240" activeTab="3" xr2:uid="{00000000-000D-0000-FFFF-FFFF00000000}"/>
  </bookViews>
  <sheets>
    <sheet name="Cover" sheetId="12" r:id="rId1"/>
    <sheet name="Metadane" sheetId="13" r:id="rId2"/>
    <sheet name="SEC_Comm" sheetId="9" r:id="rId3"/>
    <sheet name="SEC_Processes" sheetId="10" r:id="rId4"/>
    <sheet name="CH4" sheetId="19" r:id="rId5"/>
    <sheet name="Biogas" sheetId="20" r:id="rId6"/>
    <sheet name="OLD" sheetId="18" r:id="rId7"/>
  </sheets>
  <externalReferences>
    <externalReference r:id="rId8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0" l="1"/>
  <c r="L9" i="20"/>
  <c r="N9" i="19"/>
  <c r="L9" i="19"/>
  <c r="O29" i="19"/>
  <c r="O27" i="19"/>
  <c r="O25" i="19"/>
  <c r="O24" i="19"/>
  <c r="O17" i="19"/>
  <c r="O16" i="19"/>
  <c r="O15" i="19"/>
  <c r="O14" i="19"/>
  <c r="O13" i="19"/>
  <c r="O12" i="19"/>
  <c r="O11" i="19"/>
  <c r="O10" i="19"/>
  <c r="B9" i="20"/>
  <c r="H30" i="20"/>
  <c r="O29" i="20"/>
  <c r="O27" i="20"/>
  <c r="O25" i="20"/>
  <c r="O24" i="20"/>
  <c r="W19" i="20"/>
  <c r="O17" i="20"/>
  <c r="O16" i="20"/>
  <c r="O15" i="20"/>
  <c r="O14" i="20"/>
  <c r="O13" i="20"/>
  <c r="O12" i="20"/>
  <c r="O11" i="20"/>
  <c r="O10" i="20"/>
  <c r="C9" i="20"/>
  <c r="W19" i="19" l="1"/>
  <c r="H30" i="19"/>
  <c r="C9" i="19" l="1"/>
  <c r="B9" i="19"/>
  <c r="C7" i="18" l="1"/>
  <c r="B7" i="18"/>
  <c r="N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" authorId="0" shapeId="0" xr:uid="{B7FAC556-946F-441B-8DE7-51ED9329C0F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3" authorId="1" shapeId="0" xr:uid="{3A91988C-6070-43D3-A9F2-AB433D1AB54A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3" authorId="1" shapeId="0" xr:uid="{28D26DF3-074F-4C6E-96EE-825DDFDC033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3" authorId="1" shapeId="0" xr:uid="{75F2A77B-FC61-4325-AE3C-15D5D7E3C2D2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3" authorId="1" shapeId="0" xr:uid="{E101C83A-509E-49D1-B208-C32D8B04154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" authorId="0" shapeId="0" xr:uid="{D0880EE8-AF92-4545-8C03-675E8B4E1114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" authorId="0" shapeId="0" xr:uid="{2E3DCB10-0461-4698-B265-6985B30633CD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4" authorId="0" shapeId="0" xr:uid="{31CD88DA-6F4E-47CB-8BE0-578E9F8D46CC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tc={854D517A-1C9F-43DA-95C2-F5871977BBEB}</author>
  </authors>
  <commentList>
    <comment ref="H7" authorId="0" shapeId="0" xr:uid="{854D517A-1C9F-43DA-95C2-F5871977BB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VAR_ACT =VAR_FLO(AGR_BIOMETAN)/ACTFLO 
VAR_ACT=VAR_Fin*CEFF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tc={94F8FD06-ADDC-41D9-BDD2-8DFC2E26640E}</author>
  </authors>
  <commentList>
    <comment ref="H7" authorId="0" shapeId="0" xr:uid="{94F8FD06-ADDC-41D9-BDD2-8DFC2E2664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VAR_ACT =VAR_FLO(AGR_BIOMETAN)/ACTFLO 
VAR_ACT=VAR_Fin*CEFF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tc={90FCCE1D-FE0B-4977-808D-25F922E912EA}</author>
  </authors>
  <commentList>
    <comment ref="L7" authorId="0" shapeId="0" xr:uid="{90FCCE1D-FE0B-4977-808D-25F922E912EA}">
      <text>
        <t>[Threaded comment]
Your version of Excel allows you to read this threaded comment; however, any edits to it will get removed if the file is opened in a newer version of Excel. Learn more: https://go.microsoft.com/fwlink/?linkid=870924
Comment:
    Z LIFE, w KPEiK nie ma, są tylko EC i Ciepłownie na biogaz</t>
      </text>
    </comment>
  </commentList>
</comments>
</file>

<file path=xl/sharedStrings.xml><?xml version="1.0" encoding="utf-8"?>
<sst xmlns="http://schemas.openxmlformats.org/spreadsheetml/2006/main" count="243" uniqueCount="126">
  <si>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</si>
  <si>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</si>
  <si>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</si>
  <si>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</si>
  <si>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</si>
  <si>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</si>
  <si>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</si>
  <si>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</si>
  <si>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</si>
  <si>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</si>
  <si>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</si>
  <si>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</si>
  <si>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</si>
  <si>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</si>
  <si>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</si>
  <si>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\I: New Commodities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</si>
  <si>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</si>
  <si>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</si>
  <si>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</si>
  <si>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</si>
  <si>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</si>
  <si>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</si>
  <si>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</si>
  <si>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</si>
  <si>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</si>
  <si>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</si>
  <si>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</si>
  <si>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</si>
  <si>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</si>
  <si>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</si>
  <si>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</si>
  <si>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</si>
  <si>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</si>
  <si>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PRE</t>
  </si>
  <si>
    <t>~FI_T</t>
  </si>
  <si>
    <t>* TechDesc</t>
  </si>
  <si>
    <t>Comm-IN</t>
  </si>
  <si>
    <t>Comm-OUT</t>
  </si>
  <si>
    <t>AFA</t>
  </si>
  <si>
    <t>INVCOST</t>
  </si>
  <si>
    <t>Typ dokumentu</t>
  </si>
  <si>
    <t>Plik z danymi nowych technologii</t>
  </si>
  <si>
    <t>Cel powstania</t>
  </si>
  <si>
    <t>Data powstania</t>
  </si>
  <si>
    <t>Ostatnia aktualizacja</t>
  </si>
  <si>
    <t>Autor(zy)</t>
  </si>
  <si>
    <t>Artur Wyrwa</t>
  </si>
  <si>
    <t>Maciej Raczyński</t>
  </si>
  <si>
    <t>Osoba kontaktowa</t>
  </si>
  <si>
    <t>awyrwa@agh.edu.pl</t>
  </si>
  <si>
    <t>Metadane</t>
  </si>
  <si>
    <t>Wersja modelu na potrzeby scenariuszy INTG_3</t>
  </si>
  <si>
    <t>Wprowadzenie topologii i danych dla nowych technologii w sektorze przemysłu</t>
  </si>
  <si>
    <t>Moduł</t>
  </si>
  <si>
    <t>Rozszerzenia</t>
  </si>
  <si>
    <t>START</t>
  </si>
  <si>
    <t>CAP2ACT</t>
  </si>
  <si>
    <t>mln m3</t>
  </si>
  <si>
    <t>mln m3 / rok</t>
  </si>
  <si>
    <t>ANNUAL</t>
  </si>
  <si>
    <t>\I: Biometanownia</t>
  </si>
  <si>
    <t>CEFF</t>
  </si>
  <si>
    <t>ACTFLO</t>
  </si>
  <si>
    <t>Life</t>
  </si>
  <si>
    <t>FIXOM</t>
  </si>
  <si>
    <t>VAROM</t>
  </si>
  <si>
    <t>\I:Technology Name</t>
  </si>
  <si>
    <t>Input Commodity</t>
  </si>
  <si>
    <t>Output Commodity</t>
  </si>
  <si>
    <t>Starting Year</t>
  </si>
  <si>
    <t>Efficiency</t>
  </si>
  <si>
    <t>MJ/m3</t>
  </si>
  <si>
    <t>Annual Availability Factor</t>
  </si>
  <si>
    <t>Lifetime of Process</t>
  </si>
  <si>
    <t>Capacity to Activity Factor</t>
  </si>
  <si>
    <t>MPLN / mln m3  / year</t>
  </si>
  <si>
    <t>Fixed O&amp;M Cost</t>
  </si>
  <si>
    <t>Variable O&amp;M Cost</t>
  </si>
  <si>
    <t>AGR_RESID_CROP_WHEAT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</si>
  <si>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</si>
  <si>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</si>
  <si>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</si>
  <si>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</si>
  <si>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</si>
  <si>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</si>
  <si>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</si>
  <si>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AGR_RESID_CROP_PULS-FEED</t>
  </si>
  <si>
    <t>AGR_RESID_CROP_PULS-EDIB</t>
  </si>
  <si>
    <t>AGR_RESID_CROP_POTATO</t>
  </si>
  <si>
    <t>AGR_RESID_CROP_OIL</t>
  </si>
  <si>
    <t>AGR_RESID_CROP_FRUIT</t>
  </si>
  <si>
    <t>AGR_RESID_CROP_VEG</t>
  </si>
  <si>
    <t>AGR_LIV_MANURE_CAT_DAIRY</t>
  </si>
  <si>
    <t>AGR_LIV_MANURE_CAT_NON-DAIRY</t>
  </si>
  <si>
    <t>AGR_LIV_MANURE_SHEEP</t>
  </si>
  <si>
    <t>AGR_LIV_MANURE_SWINE</t>
  </si>
  <si>
    <t>AGR_LIV_MANURE_GOAT</t>
  </si>
  <si>
    <t>AGR_LIV_MANURE_POULTRY</t>
  </si>
  <si>
    <t>AGR_BIOMETAN</t>
  </si>
  <si>
    <t>Biometanownia</t>
  </si>
  <si>
    <t>FLO_COST</t>
  </si>
  <si>
    <t>New Processes</t>
  </si>
  <si>
    <t>mln m3 / kt</t>
  </si>
  <si>
    <t>PLN /m3</t>
  </si>
  <si>
    <t>Kategoria kosztu</t>
  </si>
  <si>
    <t>Instalacja średnia (3–8 MW)</t>
  </si>
  <si>
    <t>Instalacja duża (&gt;14 MW)</t>
  </si>
  <si>
    <t>CAPEX – część biogazowa [€/kW]</t>
  </si>
  <si>
    <t>CAPEX – upgrading [€/kW]</t>
  </si>
  <si>
    <t>CAPEX – przyłącze i downstream [€/kW]</t>
  </si>
  <si>
    <t>OPEX – część biogazowa [€/MWh]</t>
  </si>
  <si>
    <t>OPEX – upgrading [€/MWh]</t>
  </si>
  <si>
    <t>Gnojowica [€/t]</t>
  </si>
  <si>
    <t>Obornik [€/t]</t>
  </si>
  <si>
    <t>LHV</t>
  </si>
  <si>
    <t>kWh/m3</t>
  </si>
  <si>
    <t>Odpady pozbożowe</t>
  </si>
  <si>
    <t>PJ/mln m3</t>
  </si>
  <si>
    <t>Biomethane plant</t>
  </si>
  <si>
    <t>Biogas plant</t>
  </si>
  <si>
    <t>*~FI_Comm</t>
  </si>
  <si>
    <t xml:space="preserve">EUR/PLN = </t>
  </si>
  <si>
    <t>AGR_NEW_BIOCH4</t>
  </si>
  <si>
    <t>AGR_NEW_BIOG</t>
  </si>
  <si>
    <t>PRI_BIO_CH4_AGR</t>
  </si>
  <si>
    <t>PRI_BIOG_AGR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</si>
</sst>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3">
    <font>
      <sz val="10"/>
      <name val="Arial"/>
    </font>
    <font>
      <sz val="14"/>
      <color theme="1"/>
      <name val="Czcionka tekstu podstaw."/>
      <family val="2"/>
      <charset val="238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b/>
      <sz val="14"/>
      <color rgb="FFFFFFFF"/>
      <name val="Arial"/>
      <family val="2"/>
      <charset val="238"/>
    </font>
    <font>
      <b/>
      <sz val="12"/>
      <color indexed="53"/>
      <name val="Arial"/>
      <family val="2"/>
    </font>
    <font>
      <b/>
      <sz val="10"/>
      <color indexed="12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238"/>
    </font>
    <font>
      <sz val="11"/>
      <name val="Helvetica Neue"/>
      <family val="3"/>
      <charset val="204"/>
    </font>
    <font>
      <sz val="8"/>
      <name val="Arial"/>
      <family val="2"/>
      <charset val="238"/>
    </font>
    <font>
      <sz val="11"/>
      <color rgb="FFEE000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/>
    <xf numFmtId="0" fontId="1" fillId="0" borderId="0"/>
    <xf numFmtId="0" fontId="8" fillId="0" borderId="0"/>
    <xf numFmtId="0" fontId="5" fillId="0" borderId="0"/>
    <xf numFmtId="0" fontId="5" fillId="0" borderId="0"/>
    <xf numFmtId="0" fontId="2" fillId="0" borderId="0"/>
  </cellStyleXfs>
  <cellXfs count="81">
    <xf numFmtId="0" fontId="0" fillId="0" borderId="0" xfId="0"/>
    <xf numFmtId="0" fontId="6" fillId="2" borderId="0" xfId="0" applyFont="1" applyFill="1"/>
    <xf numFmtId="0" fontId="8" fillId="6" borderId="2" xfId="9" applyFill="1" applyBorder="1" applyAlignment="1">
      <alignment horizontal="left" vertical="top"/>
    </xf>
    <xf numFmtId="0" fontId="9" fillId="6" borderId="9" xfId="9" applyFont="1" applyFill="1" applyBorder="1" applyAlignment="1">
      <alignment horizontal="left" vertical="top"/>
    </xf>
    <xf numFmtId="0" fontId="9" fillId="6" borderId="9" xfId="9" applyFont="1" applyFill="1" applyBorder="1" applyAlignment="1">
      <alignment vertical="top"/>
    </xf>
    <xf numFmtId="0" fontId="8" fillId="6" borderId="9" xfId="9" applyFill="1" applyBorder="1" applyAlignment="1">
      <alignment horizontal="center" vertical="top"/>
    </xf>
    <xf numFmtId="0" fontId="8" fillId="6" borderId="9" xfId="9" applyFill="1" applyBorder="1" applyAlignment="1">
      <alignment horizontal="left" vertical="top"/>
    </xf>
    <xf numFmtId="0" fontId="8" fillId="6" borderId="9" xfId="9" applyFill="1" applyBorder="1" applyAlignment="1">
      <alignment vertical="top"/>
    </xf>
    <xf numFmtId="0" fontId="8" fillId="6" borderId="9" xfId="9" applyFill="1" applyBorder="1" applyAlignment="1">
      <alignment vertical="top" wrapText="1"/>
    </xf>
    <xf numFmtId="14" fontId="8" fillId="6" borderId="9" xfId="9" applyNumberFormat="1" applyFill="1" applyBorder="1" applyAlignment="1">
      <alignment horizontal="left" vertical="top"/>
    </xf>
    <xf numFmtId="0" fontId="9" fillId="6" borderId="9" xfId="9" applyFont="1" applyFill="1" applyBorder="1" applyAlignment="1">
      <alignment horizontal="center" vertical="center"/>
    </xf>
    <xf numFmtId="0" fontId="9" fillId="6" borderId="9" xfId="9" applyFont="1" applyFill="1" applyBorder="1" applyAlignment="1">
      <alignment horizontal="left" vertical="center"/>
    </xf>
    <xf numFmtId="0" fontId="9" fillId="6" borderId="0" xfId="9" applyFont="1" applyFill="1"/>
    <xf numFmtId="0" fontId="5" fillId="6" borderId="0" xfId="6" applyFill="1"/>
    <xf numFmtId="0" fontId="8" fillId="5" borderId="6" xfId="9" applyFill="1" applyBorder="1"/>
    <xf numFmtId="0" fontId="8" fillId="5" borderId="2" xfId="9" applyFill="1" applyBorder="1"/>
    <xf numFmtId="0" fontId="8" fillId="5" borderId="5" xfId="9" applyFill="1" applyBorder="1"/>
    <xf numFmtId="0" fontId="8" fillId="6" borderId="6" xfId="9" applyFill="1" applyBorder="1"/>
    <xf numFmtId="0" fontId="8" fillId="6" borderId="2" xfId="9" applyFill="1" applyBorder="1"/>
    <xf numFmtId="0" fontId="8" fillId="6" borderId="5" xfId="9" applyFill="1" applyBorder="1"/>
    <xf numFmtId="0" fontId="10" fillId="6" borderId="0" xfId="7" applyFont="1" applyFill="1"/>
    <xf numFmtId="0" fontId="8" fillId="6" borderId="0" xfId="9" applyFill="1" applyAlignment="1">
      <alignment horizontal="left" vertical="top" wrapText="1"/>
    </xf>
    <xf numFmtId="14" fontId="8" fillId="6" borderId="0" xfId="9" applyNumberFormat="1" applyFill="1"/>
    <xf numFmtId="0" fontId="8" fillId="6" borderId="0" xfId="9" applyFill="1" applyAlignment="1">
      <alignment vertical="top" wrapText="1"/>
    </xf>
    <xf numFmtId="0" fontId="9" fillId="6" borderId="0" xfId="9" applyFont="1" applyFill="1" applyAlignment="1">
      <alignment horizontal="left"/>
    </xf>
    <xf numFmtId="0" fontId="1" fillId="0" borderId="0" xfId="8"/>
    <xf numFmtId="0" fontId="8" fillId="6" borderId="4" xfId="9" applyFill="1" applyBorder="1"/>
    <xf numFmtId="0" fontId="8" fillId="6" borderId="3" xfId="9" applyFill="1" applyBorder="1"/>
    <xf numFmtId="0" fontId="8" fillId="5" borderId="4" xfId="9" applyFill="1" applyBorder="1"/>
    <xf numFmtId="0" fontId="8" fillId="6" borderId="8" xfId="9" applyFill="1" applyBorder="1"/>
    <xf numFmtId="0" fontId="8" fillId="6" borderId="1" xfId="9" applyFill="1" applyBorder="1"/>
    <xf numFmtId="0" fontId="8" fillId="6" borderId="7" xfId="9" applyFill="1" applyBorder="1"/>
    <xf numFmtId="0" fontId="8" fillId="5" borderId="3" xfId="9" applyFill="1" applyBorder="1"/>
    <xf numFmtId="0" fontId="8" fillId="5" borderId="8" xfId="9" applyFill="1" applyBorder="1"/>
    <xf numFmtId="0" fontId="8" fillId="5" borderId="1" xfId="9" applyFill="1" applyBorder="1"/>
    <xf numFmtId="0" fontId="8" fillId="5" borderId="7" xfId="9" applyFill="1" applyBorder="1"/>
    <xf numFmtId="0" fontId="8" fillId="6" borderId="0" xfId="9" applyFill="1"/>
    <xf numFmtId="0" fontId="8" fillId="4" borderId="0" xfId="9" applyFill="1"/>
    <xf numFmtId="0" fontId="5" fillId="0" borderId="0" xfId="0" applyFont="1"/>
    <xf numFmtId="0" fontId="11" fillId="4" borderId="10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2" fillId="3" borderId="0" xfId="0" applyFont="1" applyFill="1"/>
    <xf numFmtId="14" fontId="9" fillId="6" borderId="9" xfId="9" applyNumberFormat="1" applyFont="1" applyFill="1" applyBorder="1" applyAlignment="1">
      <alignment horizontal="left" vertical="top"/>
    </xf>
    <xf numFmtId="0" fontId="13" fillId="5" borderId="10" xfId="1" applyFont="1" applyFill="1" applyBorder="1" applyAlignment="1">
      <alignment horizontal="center" vertical="center" wrapText="1"/>
    </xf>
    <xf numFmtId="0" fontId="13" fillId="7" borderId="13" xfId="0" applyFont="1" applyFill="1" applyBorder="1"/>
    <xf numFmtId="0" fontId="12" fillId="3" borderId="12" xfId="0" applyFont="1" applyFill="1" applyBorder="1"/>
    <xf numFmtId="0" fontId="14" fillId="8" borderId="0" xfId="0" applyFont="1" applyFill="1"/>
    <xf numFmtId="0" fontId="13" fillId="7" borderId="13" xfId="1" applyFont="1" applyFill="1" applyBorder="1" applyAlignment="1">
      <alignment horizontal="center" vertical="center" wrapText="1"/>
    </xf>
    <xf numFmtId="0" fontId="13" fillId="7" borderId="13" xfId="1" applyFont="1" applyFill="1" applyBorder="1" applyAlignment="1">
      <alignment horizontal="left" wrapText="1"/>
    </xf>
    <xf numFmtId="0" fontId="0" fillId="6" borderId="15" xfId="0" applyFill="1" applyBorder="1"/>
    <xf numFmtId="0" fontId="12" fillId="11" borderId="0" xfId="0" applyFont="1" applyFill="1"/>
    <xf numFmtId="0" fontId="11" fillId="4" borderId="10" xfId="4" applyFont="1" applyFill="1" applyBorder="1" applyAlignment="1">
      <alignment horizontal="center" vertical="center" wrapText="1"/>
    </xf>
    <xf numFmtId="0" fontId="11" fillId="9" borderId="10" xfId="12" applyFont="1" applyFill="1" applyBorder="1" applyAlignment="1">
      <alignment horizontal="center" vertical="center" wrapText="1"/>
    </xf>
    <xf numFmtId="0" fontId="13" fillId="5" borderId="11" xfId="1" applyFont="1" applyFill="1" applyBorder="1" applyAlignment="1">
      <alignment horizontal="center" wrapText="1"/>
    </xf>
    <xf numFmtId="0" fontId="13" fillId="5" borderId="11" xfId="1" applyFont="1" applyFill="1" applyBorder="1" applyAlignment="1">
      <alignment horizontal="center" vertical="center" wrapText="1"/>
    </xf>
    <xf numFmtId="0" fontId="13" fillId="10" borderId="11" xfId="1" applyFont="1" applyFill="1" applyBorder="1" applyAlignment="1">
      <alignment horizontal="center" vertical="center" wrapText="1"/>
    </xf>
    <xf numFmtId="0" fontId="15" fillId="0" borderId="0" xfId="11" applyFont="1"/>
    <xf numFmtId="0" fontId="5" fillId="0" borderId="0" xfId="11"/>
    <xf numFmtId="0" fontId="16" fillId="0" borderId="0" xfId="11" applyFont="1" applyAlignment="1">
      <alignment horizontal="left"/>
    </xf>
    <xf numFmtId="0" fontId="16" fillId="0" borderId="0" xfId="11" applyFont="1"/>
    <xf numFmtId="0" fontId="2" fillId="0" borderId="0" xfId="11" applyFont="1"/>
    <xf numFmtId="0" fontId="17" fillId="12" borderId="0" xfId="11" applyFont="1" applyFill="1" applyAlignment="1">
      <alignment horizontal="left"/>
    </xf>
    <xf numFmtId="0" fontId="18" fillId="13" borderId="1" xfId="11" applyFont="1" applyFill="1" applyBorder="1" applyAlignment="1">
      <alignment vertical="center"/>
    </xf>
    <xf numFmtId="0" fontId="18" fillId="13" borderId="1" xfId="11" applyFont="1" applyFill="1" applyBorder="1" applyAlignment="1">
      <alignment horizontal="center" vertical="center" wrapText="1"/>
    </xf>
    <xf numFmtId="0" fontId="19" fillId="9" borderId="14" xfId="12" applyFont="1" applyFill="1" applyBorder="1" applyAlignment="1">
      <alignment horizontal="center" vertical="center"/>
    </xf>
    <xf numFmtId="0" fontId="2" fillId="14" borderId="16" xfId="1" applyFill="1" applyBorder="1" applyAlignment="1">
      <alignment horizontal="center" wrapText="1"/>
    </xf>
    <xf numFmtId="0" fontId="5" fillId="5" borderId="17" xfId="1" applyFont="1" applyFill="1" applyBorder="1" applyAlignment="1">
      <alignment horizontal="center" vertical="center" wrapText="1"/>
    </xf>
    <xf numFmtId="0" fontId="5" fillId="10" borderId="18" xfId="1" applyFont="1" applyFill="1" applyBorder="1" applyAlignment="1">
      <alignment horizontal="center" vertical="center" wrapText="1"/>
    </xf>
    <xf numFmtId="0" fontId="5" fillId="11" borderId="10" xfId="11" applyFill="1" applyBorder="1"/>
    <xf numFmtId="0" fontId="20" fillId="0" borderId="19" xfId="11" applyFont="1" applyBorder="1" applyAlignment="1">
      <alignment horizontal="justify" vertical="center" wrapText="1"/>
    </xf>
    <xf numFmtId="0" fontId="20" fillId="0" borderId="20" xfId="11" applyFont="1" applyBorder="1" applyAlignment="1">
      <alignment horizontal="justify" vertical="center" wrapText="1"/>
    </xf>
    <xf numFmtId="0" fontId="20" fillId="0" borderId="21" xfId="11" applyFont="1" applyBorder="1" applyAlignment="1">
      <alignment horizontal="justify" vertical="center" wrapText="1"/>
    </xf>
    <xf numFmtId="0" fontId="20" fillId="0" borderId="22" xfId="11" applyFont="1" applyBorder="1" applyAlignment="1">
      <alignment horizontal="center" vertical="center" wrapText="1"/>
    </xf>
    <xf numFmtId="0" fontId="5" fillId="0" borderId="2" xfId="11" applyBorder="1"/>
    <xf numFmtId="0" fontId="18" fillId="13" borderId="1" xfId="11" applyFont="1" applyFill="1" applyBorder="1" applyAlignment="1">
      <alignment horizontal="center" vertical="center"/>
    </xf>
    <xf numFmtId="0" fontId="5" fillId="6" borderId="15" xfId="0" applyFont="1" applyFill="1" applyBorder="1"/>
    <xf numFmtId="164" fontId="5" fillId="0" borderId="0" xfId="11" applyNumberFormat="1"/>
    <xf numFmtId="0" fontId="22" fillId="0" borderId="0" xfId="0" applyFont="1" applyAlignment="1">
      <alignment horizontal="justify" vertical="center"/>
    </xf>
    <xf numFmtId="0" fontId="9" fillId="6" borderId="0" xfId="9" applyFont="1" applyFill="1" applyAlignment="1">
      <alignment horizontal="left"/>
    </xf>
    <xf numFmtId="0" fontId="8" fillId="6" borderId="0" xfId="9" applyFill="1" applyAlignment="1">
      <alignment horizontal="left" vertical="top" wrapText="1"/>
    </xf>
    <xf numFmtId="0" fontId="9" fillId="6" borderId="0" xfId="9" applyFont="1" applyFill="1" applyAlignment="1">
      <alignment horizontal="center"/>
    </xf>
  </cellXfs>
  <cellStyles count="13">
    <cellStyle name="Hiperłącze 2 4 2 3" xfId="7" xr:uid="{A88F4564-DD56-4A18-9076-668720B5E835}"/>
    <cellStyle name="Normal" xfId="0" builtinId="0"/>
    <cellStyle name="Normal - Style1 2 2 3 2" xfId="11" xr:uid="{960859E8-1991-4D2D-8FBC-CE17B2F610C3}"/>
    <cellStyle name="Normal 10" xfId="1" xr:uid="{00000000-0005-0000-0000-000001000000}"/>
    <cellStyle name="Normal 10 15 2" xfId="3" xr:uid="{C7088801-E26B-4AB7-B10E-F22E578616FA}"/>
    <cellStyle name="Normal 2 42" xfId="8" xr:uid="{75BC3421-EF0E-4DBA-8777-7CF14271FFE1}"/>
    <cellStyle name="Normal 4 10 2 2" xfId="12" xr:uid="{ADFFF199-0741-49DA-A78B-5116F6E611E7}"/>
    <cellStyle name="Normal 4 2 16" xfId="4" xr:uid="{A693299E-A686-4645-A08F-5D86BD6D5D7D}"/>
    <cellStyle name="Normal 93" xfId="10" xr:uid="{7F1C4126-6718-4DA4-8DF0-78A2485BA903}"/>
    <cellStyle name="Normalny 10 10" xfId="6" xr:uid="{5A8CD29C-BF61-4FCE-B1F4-1E046965A740}"/>
    <cellStyle name="Normalny 2" xfId="2" xr:uid="{7FA3224E-AF14-4335-AD75-0D756F8CB3F0}"/>
    <cellStyle name="Normalny 2 10" xfId="5" xr:uid="{3F6D82E3-FF5C-4554-B778-45E525933A1E}"/>
    <cellStyle name="Normalny 43 2" xfId="9" xr:uid="{DC46FAFB-A1BA-4171-B0F4-585ADC092E3C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2D927C0A-7015-40AC-BD52-24AB713D763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5C5EDFE2-5D96-434A-B712-8D70EAE23AED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FE46ED9D-CD19-49DE-A26E-D59C382732C5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6707D0B0-91A4-46A3-B39B-E09243519A54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3238078-7E96-44AC-88AE-BF4F7E7BEB0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FA14C44C-F730-437E-B08C-E8EAE34A613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6C56681-C882-44DA-9F94-8AC2961187D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B1DA381B-5CAC-4C13-B8C6-2B7D59D6234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282D871-98FE-4262-9512-E576DA497C82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6FC1A323-435E-4C09-A20C-0FA18993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3BEB3D-71CA-4A25-9CB5-F7D74B0DA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123780</xdr:colOff>
      <xdr:row>22</xdr:row>
      <xdr:rowOff>95726</xdr:rowOff>
    </xdr:from>
    <xdr:to>
      <xdr:col>22</xdr:col>
      <xdr:colOff>1160947</xdr:colOff>
      <xdr:row>49</xdr:row>
      <xdr:rowOff>51422</xdr:rowOff>
    </xdr:to>
    <xdr:pic>
      <xdr:nvPicPr>
        <xdr:cNvPr id="2" name="Picture 1" descr="A graph with numbers and a chart&#10;&#10;AI-generated content may be incorrect.">
          <a:extLst>
            <a:ext uri="{FF2B5EF4-FFF2-40B4-BE49-F238E27FC236}">
              <a16:creationId xmlns:a16="http://schemas.microsoft.com/office/drawing/2014/main" id="{76E4AC32-AC45-4540-99BD-C8810428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91323" y="4758835"/>
          <a:ext cx="5675428" cy="44283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123780</xdr:colOff>
      <xdr:row>22</xdr:row>
      <xdr:rowOff>95726</xdr:rowOff>
    </xdr:from>
    <xdr:to>
      <xdr:col>22</xdr:col>
      <xdr:colOff>1160947</xdr:colOff>
      <xdr:row>49</xdr:row>
      <xdr:rowOff>51422</xdr:rowOff>
    </xdr:to>
    <xdr:pic>
      <xdr:nvPicPr>
        <xdr:cNvPr id="2" name="Picture 1" descr="A graph with numbers and a chart&#10;&#10;AI-generated content may be incorrect.">
          <a:extLst>
            <a:ext uri="{FF2B5EF4-FFF2-40B4-BE49-F238E27FC236}">
              <a16:creationId xmlns:a16="http://schemas.microsoft.com/office/drawing/2014/main" id="{CA7A0EC3-37D6-42C2-BBCD-1321139C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26380" y="4724876"/>
          <a:ext cx="5675842" cy="43276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wyrwa" id="{2AC508F9-1A19-4C12-AB65-B224DF586DB8}" userId="awyrwa" providerId="None"/>
  <person displayName="Maciej Raczyński" id="{1F03481A-15D0-403B-BE86-E76399711398}" userId="S::makracz@agh.edu.pl::cb8e1b6e-b599-4de2-beb4-39cd5a5d6ef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5-11-06T12:12:16.04" personId="{2AC508F9-1A19-4C12-AB65-B224DF586DB8}" id="{854D517A-1C9F-43DA-95C2-F5871977BBEB}">
    <text>VAR_ACT =VAR_FLO(AGR_BIOMETAN)/ACTFLO 
VAR_ACT=VAR_Fin*CEFF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7" dT="2025-11-06T12:12:16.04" personId="{2AC508F9-1A19-4C12-AB65-B224DF586DB8}" id="{94F8FD06-ADDC-41D9-BDD2-8DFC2E26640E}">
    <text>VAR_ACT =VAR_FLO(AGR_BIOMETAN)/ACTFLO 
VAR_ACT=VAR_Fin*CEFF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7" dT="2025-10-22T17:15:18.80" personId="{1F03481A-15D0-403B-BE86-E76399711398}" id="{90FCCE1D-FE0B-4977-808D-25F922E912EA}">
    <text>Z LIFE, w KPEiK nie ma, są tylko EC i Ciepłownie na biogaz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C1D8-D82E-48E8-B5EF-FE3CE197F082}">
  <sheetPr codeName="Sheet2"/>
  <dimension ref="A1:O49"/>
  <sheetViews>
    <sheetView workbookViewId="0">
      <selection activeCell="H31" sqref="H31"/>
    </sheetView>
  </sheetViews>
  <sheetFormatPr defaultColWidth="9.140625" defaultRowHeight="18.75"/>
  <cols>
    <col min="1" max="3" width="4" style="36" customWidth="1"/>
    <col min="4" max="9" width="14.28515625" style="36" customWidth="1"/>
    <col min="10" max="12" width="4" style="36" customWidth="1"/>
    <col min="13" max="16384" width="9.140625" style="36"/>
  </cols>
  <sheetData>
    <row r="1" spans="1:15" ht="22.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5" ht="22.5" customHeight="1">
      <c r="A2" s="37"/>
      <c r="B2" s="35"/>
      <c r="C2" s="34"/>
      <c r="D2" s="34"/>
      <c r="E2" s="34"/>
      <c r="F2" s="34"/>
      <c r="G2" s="34"/>
      <c r="H2" s="34"/>
      <c r="I2" s="34"/>
      <c r="J2" s="34"/>
      <c r="K2" s="33"/>
      <c r="L2" s="37"/>
    </row>
    <row r="3" spans="1:15" ht="22.5" customHeight="1">
      <c r="A3" s="37"/>
      <c r="B3" s="32"/>
      <c r="C3" s="31"/>
      <c r="D3" s="30"/>
      <c r="E3" s="30"/>
      <c r="F3" s="30"/>
      <c r="G3" s="30"/>
      <c r="H3" s="30"/>
      <c r="I3" s="30"/>
      <c r="J3" s="29"/>
      <c r="K3" s="28"/>
      <c r="L3" s="37"/>
    </row>
    <row r="4" spans="1:15">
      <c r="A4" s="37"/>
      <c r="B4" s="32"/>
      <c r="C4" s="27"/>
      <c r="J4" s="26"/>
      <c r="K4" s="28"/>
      <c r="L4" s="37"/>
    </row>
    <row r="5" spans="1:15">
      <c r="A5" s="37"/>
      <c r="B5" s="32"/>
      <c r="C5" s="27"/>
      <c r="J5" s="26"/>
      <c r="K5" s="28"/>
      <c r="L5" s="37"/>
    </row>
    <row r="6" spans="1:15">
      <c r="A6" s="37"/>
      <c r="B6" s="32"/>
      <c r="C6" s="27"/>
      <c r="J6" s="26"/>
      <c r="K6" s="28"/>
      <c r="L6" s="37"/>
      <c r="O6" s="25"/>
    </row>
    <row r="7" spans="1:15">
      <c r="A7" s="37"/>
      <c r="B7" s="32"/>
      <c r="C7" s="27"/>
      <c r="J7" s="26"/>
      <c r="K7" s="28"/>
      <c r="L7" s="37"/>
    </row>
    <row r="8" spans="1:15">
      <c r="A8" s="37"/>
      <c r="B8" s="32"/>
      <c r="C8" s="27"/>
      <c r="J8" s="26"/>
      <c r="K8" s="28"/>
      <c r="L8" s="37"/>
    </row>
    <row r="9" spans="1:15">
      <c r="A9" s="37"/>
      <c r="B9" s="32"/>
      <c r="C9" s="27"/>
      <c r="J9" s="26"/>
      <c r="K9" s="28"/>
      <c r="L9" s="37"/>
    </row>
    <row r="10" spans="1:15">
      <c r="A10" s="37"/>
      <c r="B10" s="32"/>
      <c r="C10" s="27"/>
      <c r="J10" s="26"/>
      <c r="K10" s="28"/>
      <c r="L10" s="37"/>
    </row>
    <row r="11" spans="1:15">
      <c r="A11" s="37"/>
      <c r="B11" s="32"/>
      <c r="C11" s="27"/>
      <c r="J11" s="26"/>
      <c r="K11" s="28"/>
      <c r="L11" s="37"/>
    </row>
    <row r="12" spans="1:15">
      <c r="A12" s="37"/>
      <c r="B12" s="32"/>
      <c r="C12" s="27"/>
      <c r="J12" s="26"/>
      <c r="K12" s="28"/>
      <c r="L12" s="37"/>
    </row>
    <row r="13" spans="1:15">
      <c r="A13" s="37"/>
      <c r="B13" s="32"/>
      <c r="C13" s="27"/>
      <c r="J13" s="26"/>
      <c r="K13" s="28"/>
      <c r="L13" s="37"/>
    </row>
    <row r="14" spans="1:15">
      <c r="A14" s="37"/>
      <c r="B14" s="32"/>
      <c r="C14" s="27"/>
      <c r="D14" s="78" t="s">
        <v>40</v>
      </c>
      <c r="E14" s="78"/>
      <c r="F14" s="79" t="s">
        <v>41</v>
      </c>
      <c r="G14" s="79"/>
      <c r="H14" s="79"/>
      <c r="J14" s="26"/>
      <c r="K14" s="28"/>
      <c r="L14" s="37"/>
    </row>
    <row r="15" spans="1:15">
      <c r="A15" s="37"/>
      <c r="B15" s="32"/>
      <c r="C15" s="27"/>
      <c r="D15" s="24"/>
      <c r="E15" s="24"/>
      <c r="F15" s="79"/>
      <c r="G15" s="79"/>
      <c r="H15" s="79"/>
      <c r="J15" s="26"/>
      <c r="K15" s="28"/>
      <c r="L15" s="37"/>
    </row>
    <row r="16" spans="1:15">
      <c r="A16" s="37"/>
      <c r="B16" s="32"/>
      <c r="C16" s="27"/>
      <c r="J16" s="26"/>
      <c r="K16" s="28"/>
      <c r="L16" s="37"/>
    </row>
    <row r="17" spans="1:12">
      <c r="A17" s="37"/>
      <c r="B17" s="32"/>
      <c r="C17" s="27"/>
      <c r="J17" s="26"/>
      <c r="K17" s="28"/>
      <c r="L17" s="37"/>
    </row>
    <row r="18" spans="1:12" ht="18.75" customHeight="1">
      <c r="A18" s="37"/>
      <c r="B18" s="32"/>
      <c r="C18" s="27"/>
      <c r="D18" s="78" t="s">
        <v>42</v>
      </c>
      <c r="E18" s="78"/>
      <c r="F18" s="79" t="s">
        <v>52</v>
      </c>
      <c r="G18" s="79"/>
      <c r="H18" s="79"/>
      <c r="I18" s="79"/>
      <c r="J18" s="26"/>
      <c r="K18" s="28"/>
      <c r="L18" s="37"/>
    </row>
    <row r="19" spans="1:12">
      <c r="A19" s="37"/>
      <c r="B19" s="32"/>
      <c r="C19" s="27"/>
      <c r="D19" s="24"/>
      <c r="E19" s="24"/>
      <c r="F19" s="79"/>
      <c r="G19" s="79"/>
      <c r="H19" s="79"/>
      <c r="I19" s="79"/>
      <c r="J19" s="26"/>
      <c r="K19" s="28"/>
      <c r="L19" s="37"/>
    </row>
    <row r="20" spans="1:12">
      <c r="A20" s="37"/>
      <c r="B20" s="32"/>
      <c r="C20" s="27"/>
      <c r="D20" s="24"/>
      <c r="E20" s="24"/>
      <c r="F20" s="79"/>
      <c r="G20" s="79"/>
      <c r="H20" s="79"/>
      <c r="I20" s="79"/>
      <c r="J20" s="26"/>
      <c r="K20" s="28"/>
      <c r="L20" s="37"/>
    </row>
    <row r="21" spans="1:12">
      <c r="A21" s="37"/>
      <c r="B21" s="32"/>
      <c r="C21" s="27"/>
      <c r="F21" s="23"/>
      <c r="G21" s="23"/>
      <c r="H21" s="23"/>
      <c r="J21" s="26"/>
      <c r="K21" s="28"/>
      <c r="L21" s="37"/>
    </row>
    <row r="22" spans="1:12">
      <c r="A22" s="37"/>
      <c r="B22" s="32"/>
      <c r="C22" s="27"/>
      <c r="D22" s="78" t="s">
        <v>43</v>
      </c>
      <c r="E22" s="78"/>
      <c r="F22" s="22">
        <v>45901</v>
      </c>
      <c r="G22" s="21"/>
      <c r="H22" s="21"/>
      <c r="J22" s="26"/>
      <c r="K22" s="28"/>
      <c r="L22" s="37"/>
    </row>
    <row r="23" spans="1:12">
      <c r="A23" s="37"/>
      <c r="B23" s="32"/>
      <c r="C23" s="27"/>
      <c r="D23" s="24"/>
      <c r="E23" s="24"/>
      <c r="F23" s="22"/>
      <c r="G23" s="21"/>
      <c r="H23" s="21"/>
      <c r="J23" s="26"/>
      <c r="K23" s="28"/>
      <c r="L23" s="37"/>
    </row>
    <row r="24" spans="1:12">
      <c r="A24" s="37"/>
      <c r="B24" s="32"/>
      <c r="C24" s="27"/>
      <c r="D24" s="24"/>
      <c r="E24" s="24"/>
      <c r="F24" s="22"/>
      <c r="G24" s="21"/>
      <c r="H24" s="21"/>
      <c r="J24" s="26"/>
      <c r="K24" s="28"/>
      <c r="L24" s="37"/>
    </row>
    <row r="25" spans="1:12">
      <c r="A25" s="37"/>
      <c r="B25" s="32"/>
      <c r="C25" s="27"/>
      <c r="D25" s="24" t="s">
        <v>44</v>
      </c>
      <c r="E25" s="24"/>
      <c r="F25" s="22">
        <v>45915</v>
      </c>
      <c r="G25" s="21"/>
      <c r="H25" s="21"/>
      <c r="J25" s="26"/>
      <c r="K25" s="28"/>
      <c r="L25" s="37"/>
    </row>
    <row r="26" spans="1:12">
      <c r="A26" s="37"/>
      <c r="B26" s="32"/>
      <c r="C26" s="27"/>
      <c r="D26" s="24"/>
      <c r="E26" s="24"/>
      <c r="F26" s="22"/>
      <c r="G26" s="21"/>
      <c r="H26" s="21"/>
      <c r="J26" s="26"/>
      <c r="K26" s="28"/>
      <c r="L26" s="37"/>
    </row>
    <row r="27" spans="1:12">
      <c r="A27" s="37"/>
      <c r="B27" s="32"/>
      <c r="C27" s="27"/>
      <c r="J27" s="26"/>
      <c r="K27" s="28"/>
      <c r="L27" s="37"/>
    </row>
    <row r="28" spans="1:12">
      <c r="A28" s="37"/>
      <c r="B28" s="32"/>
      <c r="C28" s="27"/>
      <c r="D28" s="78" t="s">
        <v>45</v>
      </c>
      <c r="E28" s="78"/>
      <c r="F28" s="36" t="s">
        <v>46</v>
      </c>
      <c r="J28" s="26"/>
      <c r="K28" s="28"/>
      <c r="L28" s="37"/>
    </row>
    <row r="29" spans="1:12">
      <c r="A29" s="37"/>
      <c r="B29" s="32"/>
      <c r="C29" s="27"/>
      <c r="F29" s="36" t="s">
        <v>47</v>
      </c>
      <c r="J29" s="26"/>
      <c r="K29" s="28"/>
      <c r="L29" s="37"/>
    </row>
    <row r="30" spans="1:12">
      <c r="A30" s="37"/>
      <c r="B30" s="32"/>
      <c r="C30" s="27"/>
      <c r="J30" s="26"/>
      <c r="K30" s="28"/>
      <c r="L30" s="37"/>
    </row>
    <row r="31" spans="1:12">
      <c r="A31" s="37"/>
      <c r="B31" s="32"/>
      <c r="C31" s="27"/>
      <c r="J31" s="26"/>
      <c r="K31" s="28"/>
      <c r="L31" s="37"/>
    </row>
    <row r="32" spans="1:12">
      <c r="A32" s="37"/>
      <c r="B32" s="32"/>
      <c r="C32" s="27"/>
      <c r="D32" s="78" t="s">
        <v>48</v>
      </c>
      <c r="E32" s="78"/>
      <c r="F32" s="36" t="s">
        <v>46</v>
      </c>
      <c r="J32" s="26"/>
      <c r="K32" s="28"/>
      <c r="L32" s="37"/>
    </row>
    <row r="33" spans="1:12">
      <c r="A33" s="37"/>
      <c r="B33" s="32"/>
      <c r="C33" s="27"/>
      <c r="F33" s="20" t="s">
        <v>49</v>
      </c>
      <c r="J33" s="26"/>
      <c r="K33" s="28"/>
      <c r="L33" s="37"/>
    </row>
    <row r="34" spans="1:12">
      <c r="A34" s="37"/>
      <c r="B34" s="32"/>
      <c r="C34" s="27"/>
      <c r="J34" s="26"/>
      <c r="K34" s="28"/>
      <c r="L34" s="37"/>
    </row>
    <row r="35" spans="1:12">
      <c r="A35" s="37"/>
      <c r="B35" s="32"/>
      <c r="C35" s="27"/>
      <c r="J35" s="26"/>
      <c r="K35" s="28"/>
      <c r="L35" s="37"/>
    </row>
    <row r="36" spans="1:12">
      <c r="A36" s="37"/>
      <c r="B36" s="32"/>
      <c r="C36" s="27"/>
      <c r="J36" s="26"/>
      <c r="K36" s="28"/>
      <c r="L36" s="37"/>
    </row>
    <row r="37" spans="1:12">
      <c r="A37" s="37"/>
      <c r="B37" s="32"/>
      <c r="C37" s="27"/>
      <c r="J37" s="26"/>
      <c r="K37" s="28"/>
      <c r="L37" s="37"/>
    </row>
    <row r="38" spans="1:12">
      <c r="A38" s="37"/>
      <c r="B38" s="32"/>
      <c r="C38" s="19"/>
      <c r="D38" s="18"/>
      <c r="E38" s="18"/>
      <c r="F38" s="18"/>
      <c r="G38" s="18"/>
      <c r="H38" s="18"/>
      <c r="I38" s="18"/>
      <c r="J38" s="17"/>
      <c r="K38" s="28"/>
      <c r="L38" s="37"/>
    </row>
    <row r="39" spans="1:12" ht="22.5" customHeight="1">
      <c r="A39" s="37"/>
      <c r="B39" s="16"/>
      <c r="C39" s="15"/>
      <c r="D39" s="15"/>
      <c r="E39" s="15"/>
      <c r="F39" s="15"/>
      <c r="G39" s="15"/>
      <c r="H39" s="15"/>
      <c r="I39" s="15"/>
      <c r="J39" s="15"/>
      <c r="K39" s="14"/>
      <c r="L39" s="37"/>
    </row>
    <row r="40" spans="1:12" ht="22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8" spans="1:12" ht="59.45" customHeight="1"/>
    <row r="49" ht="64.150000000000006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9F26C59A-650D-464D-A57F-4728591FA77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4557-C3AC-4884-94FD-9ED1E212D87C}">
  <sheetPr codeName="Sheet4"/>
  <dimension ref="A1:I40"/>
  <sheetViews>
    <sheetView workbookViewId="0">
      <selection activeCell="E36" sqref="E36"/>
    </sheetView>
  </sheetViews>
  <sheetFormatPr defaultColWidth="9.140625" defaultRowHeight="12.75"/>
  <cols>
    <col min="1" max="3" width="4" style="13" customWidth="1"/>
    <col min="4" max="4" width="17.140625" style="13" customWidth="1"/>
    <col min="5" max="5" width="24.28515625" style="13" customWidth="1"/>
    <col min="6" max="6" width="44.28515625" style="13" customWidth="1"/>
    <col min="7" max="9" width="4" style="13" customWidth="1"/>
    <col min="10" max="16384" width="9.140625" style="13"/>
  </cols>
  <sheetData>
    <row r="1" spans="1:9" ht="22.5" customHeight="1">
      <c r="A1" s="37"/>
      <c r="B1" s="37"/>
      <c r="C1" s="37"/>
      <c r="D1" s="37"/>
      <c r="E1" s="37"/>
      <c r="F1" s="37"/>
      <c r="G1" s="37"/>
      <c r="H1" s="37"/>
      <c r="I1" s="37"/>
    </row>
    <row r="2" spans="1:9" ht="22.5" customHeight="1">
      <c r="A2" s="37"/>
      <c r="B2" s="35"/>
      <c r="C2" s="34"/>
      <c r="D2" s="34"/>
      <c r="E2" s="34"/>
      <c r="F2" s="34"/>
      <c r="G2" s="34"/>
      <c r="H2" s="33"/>
      <c r="I2" s="37"/>
    </row>
    <row r="3" spans="1:9" ht="18.75">
      <c r="A3" s="37"/>
      <c r="B3" s="32"/>
      <c r="C3" s="31"/>
      <c r="D3" s="30"/>
      <c r="E3" s="30"/>
      <c r="F3" s="30"/>
      <c r="G3" s="29"/>
      <c r="H3" s="28"/>
      <c r="I3" s="37"/>
    </row>
    <row r="4" spans="1:9" ht="18.75">
      <c r="A4" s="37"/>
      <c r="B4" s="32"/>
      <c r="C4" s="27"/>
      <c r="D4" s="80" t="s">
        <v>50</v>
      </c>
      <c r="E4" s="80"/>
      <c r="F4" s="80"/>
      <c r="G4" s="26"/>
      <c r="H4" s="28"/>
      <c r="I4" s="37"/>
    </row>
    <row r="5" spans="1:9" ht="18.75">
      <c r="A5" s="37"/>
      <c r="B5" s="32"/>
      <c r="C5" s="27"/>
      <c r="D5" s="12"/>
      <c r="E5" s="12"/>
      <c r="F5" s="12"/>
      <c r="G5" s="26"/>
      <c r="H5" s="28"/>
      <c r="I5" s="37"/>
    </row>
    <row r="6" spans="1:9" ht="18.75">
      <c r="A6" s="37"/>
      <c r="B6" s="32"/>
      <c r="C6" s="27"/>
      <c r="D6" s="11" t="s">
        <v>51</v>
      </c>
      <c r="E6" s="10"/>
      <c r="F6" s="10"/>
      <c r="G6" s="26"/>
      <c r="H6" s="28"/>
      <c r="I6" s="37"/>
    </row>
    <row r="7" spans="1:9" ht="18.75">
      <c r="A7" s="37"/>
      <c r="B7" s="32"/>
      <c r="C7" s="27"/>
      <c r="D7" s="9"/>
      <c r="E7" s="8"/>
      <c r="F7" s="8"/>
      <c r="G7" s="26"/>
      <c r="H7" s="28"/>
      <c r="I7" s="37"/>
    </row>
    <row r="8" spans="1:9" ht="18.75">
      <c r="A8" s="37"/>
      <c r="B8" s="32"/>
      <c r="C8" s="27"/>
      <c r="D8" s="42" t="s">
        <v>53</v>
      </c>
      <c r="E8" s="7" t="s">
        <v>54</v>
      </c>
      <c r="F8" s="8"/>
      <c r="G8" s="26"/>
      <c r="H8" s="28"/>
      <c r="I8" s="37"/>
    </row>
    <row r="9" spans="1:9" ht="18.75">
      <c r="A9" s="37"/>
      <c r="B9" s="32"/>
      <c r="C9" s="27"/>
      <c r="D9" s="6"/>
      <c r="E9" s="5"/>
      <c r="F9" s="5"/>
      <c r="G9" s="26"/>
      <c r="H9" s="28"/>
      <c r="I9" s="37"/>
    </row>
    <row r="10" spans="1:9" ht="18.75">
      <c r="A10" s="37"/>
      <c r="B10" s="32"/>
      <c r="C10" s="27"/>
      <c r="D10" s="6"/>
      <c r="E10" s="5"/>
      <c r="F10" s="5"/>
      <c r="G10" s="26"/>
      <c r="H10" s="28"/>
      <c r="I10" s="37"/>
    </row>
    <row r="11" spans="1:9" ht="18.75">
      <c r="A11" s="37"/>
      <c r="B11" s="32"/>
      <c r="C11" s="27"/>
      <c r="D11" s="6"/>
      <c r="E11" s="5"/>
      <c r="F11" s="5"/>
      <c r="G11" s="26"/>
      <c r="H11" s="28"/>
      <c r="I11" s="37"/>
    </row>
    <row r="12" spans="1:9" ht="18.75">
      <c r="A12" s="37"/>
      <c r="B12" s="32"/>
      <c r="C12" s="27"/>
      <c r="D12" s="6"/>
      <c r="E12" s="5"/>
      <c r="F12" s="5"/>
      <c r="G12" s="26"/>
      <c r="H12" s="28"/>
      <c r="I12" s="37"/>
    </row>
    <row r="13" spans="1:9" ht="18.75">
      <c r="A13" s="37"/>
      <c r="B13" s="32"/>
      <c r="C13" s="27"/>
      <c r="D13" s="6"/>
      <c r="E13" s="5"/>
      <c r="F13" s="5"/>
      <c r="G13" s="26"/>
      <c r="H13" s="28"/>
      <c r="I13" s="37"/>
    </row>
    <row r="14" spans="1:9" ht="18.75">
      <c r="A14" s="37"/>
      <c r="B14" s="32"/>
      <c r="C14" s="27"/>
      <c r="D14" s="4"/>
      <c r="E14" s="5"/>
      <c r="F14" s="5"/>
      <c r="G14" s="26"/>
      <c r="H14" s="28"/>
      <c r="I14" s="37"/>
    </row>
    <row r="15" spans="1:9" ht="18.75">
      <c r="A15" s="37"/>
      <c r="B15" s="32"/>
      <c r="C15" s="27"/>
      <c r="D15" s="3"/>
      <c r="E15" s="5"/>
      <c r="F15" s="5"/>
      <c r="G15" s="26"/>
      <c r="H15" s="28"/>
      <c r="I15" s="37"/>
    </row>
    <row r="16" spans="1:9" ht="18.75">
      <c r="A16" s="37"/>
      <c r="B16" s="32"/>
      <c r="C16" s="27"/>
      <c r="D16" s="6"/>
      <c r="E16" s="5"/>
      <c r="F16" s="5"/>
      <c r="G16" s="26"/>
      <c r="H16" s="28"/>
      <c r="I16" s="37"/>
    </row>
    <row r="17" spans="1:9" ht="18.75">
      <c r="A17" s="37"/>
      <c r="B17" s="32"/>
      <c r="C17" s="27"/>
      <c r="D17" s="6"/>
      <c r="E17" s="5"/>
      <c r="F17" s="5"/>
      <c r="G17" s="26"/>
      <c r="H17" s="28"/>
      <c r="I17" s="37"/>
    </row>
    <row r="18" spans="1:9" ht="18.75">
      <c r="A18" s="37"/>
      <c r="B18" s="32"/>
      <c r="C18" s="27"/>
      <c r="D18" s="4"/>
      <c r="E18" s="5"/>
      <c r="F18" s="5"/>
      <c r="G18" s="26"/>
      <c r="H18" s="28"/>
      <c r="I18" s="37"/>
    </row>
    <row r="19" spans="1:9" ht="18.75">
      <c r="A19" s="37"/>
      <c r="B19" s="32"/>
      <c r="C19" s="27"/>
      <c r="D19" s="3"/>
      <c r="E19" s="5"/>
      <c r="F19" s="5"/>
      <c r="G19" s="26"/>
      <c r="H19" s="28"/>
      <c r="I19" s="37"/>
    </row>
    <row r="20" spans="1:9" ht="18.75">
      <c r="A20" s="37"/>
      <c r="B20" s="32"/>
      <c r="C20" s="27"/>
      <c r="D20" s="3"/>
      <c r="E20" s="5"/>
      <c r="F20" s="5"/>
      <c r="G20" s="26"/>
      <c r="H20" s="28"/>
      <c r="I20" s="37"/>
    </row>
    <row r="21" spans="1:9" ht="18.75">
      <c r="A21" s="37"/>
      <c r="B21" s="32"/>
      <c r="C21" s="27"/>
      <c r="D21" s="6"/>
      <c r="E21" s="5"/>
      <c r="F21" s="5"/>
      <c r="G21" s="26"/>
      <c r="H21" s="28"/>
      <c r="I21" s="37"/>
    </row>
    <row r="22" spans="1:9" ht="18.75">
      <c r="A22" s="37"/>
      <c r="B22" s="32"/>
      <c r="C22" s="27"/>
      <c r="D22" s="4"/>
      <c r="E22" s="5"/>
      <c r="F22" s="5"/>
      <c r="G22" s="26"/>
      <c r="H22" s="28"/>
      <c r="I22" s="37"/>
    </row>
    <row r="23" spans="1:9" ht="18.75">
      <c r="A23" s="37"/>
      <c r="B23" s="32"/>
      <c r="C23" s="27"/>
      <c r="D23" s="3"/>
      <c r="E23" s="5"/>
      <c r="F23" s="5"/>
      <c r="G23" s="26"/>
      <c r="H23" s="28"/>
      <c r="I23" s="37"/>
    </row>
    <row r="24" spans="1:9" ht="18.75">
      <c r="A24" s="37"/>
      <c r="B24" s="32"/>
      <c r="C24" s="27"/>
      <c r="D24" s="3"/>
      <c r="E24" s="5"/>
      <c r="F24" s="5"/>
      <c r="G24" s="26"/>
      <c r="H24" s="28"/>
      <c r="I24" s="37"/>
    </row>
    <row r="25" spans="1:9" ht="18.75">
      <c r="A25" s="37"/>
      <c r="B25" s="32"/>
      <c r="C25" s="27"/>
      <c r="D25" s="3"/>
      <c r="E25" s="5"/>
      <c r="F25" s="5"/>
      <c r="G25" s="26"/>
      <c r="H25" s="28"/>
      <c r="I25" s="37"/>
    </row>
    <row r="26" spans="1:9" ht="18.75">
      <c r="A26" s="37"/>
      <c r="B26" s="32"/>
      <c r="C26" s="27"/>
      <c r="D26" s="3"/>
      <c r="E26" s="5"/>
      <c r="F26" s="5"/>
      <c r="G26" s="26"/>
      <c r="H26" s="28"/>
      <c r="I26" s="37"/>
    </row>
    <row r="27" spans="1:9" ht="18.75">
      <c r="A27" s="37"/>
      <c r="B27" s="32"/>
      <c r="C27" s="27"/>
      <c r="D27" s="6"/>
      <c r="E27" s="5"/>
      <c r="F27" s="5"/>
      <c r="G27" s="26"/>
      <c r="H27" s="28"/>
      <c r="I27" s="37"/>
    </row>
    <row r="28" spans="1:9" ht="18.75">
      <c r="A28" s="37"/>
      <c r="B28" s="32"/>
      <c r="C28" s="27"/>
      <c r="D28" s="4"/>
      <c r="E28" s="5"/>
      <c r="F28" s="5"/>
      <c r="G28" s="26"/>
      <c r="H28" s="28"/>
      <c r="I28" s="37"/>
    </row>
    <row r="29" spans="1:9" ht="18.75">
      <c r="A29" s="37"/>
      <c r="B29" s="32"/>
      <c r="C29" s="27"/>
      <c r="D29" s="6"/>
      <c r="E29" s="5"/>
      <c r="F29" s="5"/>
      <c r="G29" s="26"/>
      <c r="H29" s="28"/>
      <c r="I29" s="37"/>
    </row>
    <row r="30" spans="1:9" ht="18.75">
      <c r="A30" s="37"/>
      <c r="B30" s="32"/>
      <c r="C30" s="27"/>
      <c r="D30" s="6"/>
      <c r="E30" s="5"/>
      <c r="F30" s="5"/>
      <c r="G30" s="26"/>
      <c r="H30" s="28"/>
      <c r="I30" s="37"/>
    </row>
    <row r="31" spans="1:9" ht="18.75">
      <c r="A31" s="37"/>
      <c r="B31" s="32"/>
      <c r="C31" s="27"/>
      <c r="D31" s="6"/>
      <c r="E31" s="5"/>
      <c r="F31" s="5"/>
      <c r="G31" s="26"/>
      <c r="H31" s="28"/>
      <c r="I31" s="37"/>
    </row>
    <row r="32" spans="1:9" ht="18.75">
      <c r="A32" s="37"/>
      <c r="B32" s="32"/>
      <c r="C32" s="27"/>
      <c r="D32" s="4"/>
      <c r="E32" s="5"/>
      <c r="F32" s="5"/>
      <c r="G32" s="26"/>
      <c r="H32" s="28"/>
      <c r="I32" s="37"/>
    </row>
    <row r="33" spans="1:9" ht="18.75">
      <c r="A33" s="37"/>
      <c r="B33" s="32"/>
      <c r="C33" s="27"/>
      <c r="D33" s="6"/>
      <c r="E33" s="5"/>
      <c r="F33" s="5"/>
      <c r="G33" s="26"/>
      <c r="H33" s="28"/>
      <c r="I33" s="37"/>
    </row>
    <row r="34" spans="1:9" ht="18.75">
      <c r="A34" s="37"/>
      <c r="B34" s="32"/>
      <c r="C34" s="27"/>
      <c r="D34" s="6"/>
      <c r="E34" s="5"/>
      <c r="F34" s="5"/>
      <c r="G34" s="26"/>
      <c r="H34" s="28"/>
      <c r="I34" s="37"/>
    </row>
    <row r="35" spans="1:9" ht="18.75">
      <c r="A35" s="37"/>
      <c r="B35" s="32"/>
      <c r="C35" s="27"/>
      <c r="D35" s="6"/>
      <c r="E35" s="5"/>
      <c r="F35" s="5"/>
      <c r="G35" s="26"/>
      <c r="H35" s="28"/>
      <c r="I35" s="37"/>
    </row>
    <row r="36" spans="1:9" ht="18.75">
      <c r="A36" s="37"/>
      <c r="B36" s="32"/>
      <c r="C36" s="27"/>
      <c r="D36" s="6"/>
      <c r="E36" s="5"/>
      <c r="F36" s="5"/>
      <c r="G36" s="26"/>
      <c r="H36" s="28"/>
      <c r="I36" s="37"/>
    </row>
    <row r="37" spans="1:9" ht="18.75">
      <c r="A37" s="37"/>
      <c r="B37" s="32"/>
      <c r="C37" s="27"/>
      <c r="D37" s="6"/>
      <c r="E37" s="5"/>
      <c r="F37" s="5"/>
      <c r="G37" s="26"/>
      <c r="H37" s="28"/>
      <c r="I37" s="37"/>
    </row>
    <row r="38" spans="1:9" ht="18.75">
      <c r="A38" s="37"/>
      <c r="B38" s="32"/>
      <c r="C38" s="19"/>
      <c r="D38" s="2"/>
      <c r="E38" s="2"/>
      <c r="F38" s="2"/>
      <c r="G38" s="17"/>
      <c r="H38" s="28"/>
      <c r="I38" s="37"/>
    </row>
    <row r="39" spans="1:9" ht="22.5" customHeight="1">
      <c r="A39" s="37"/>
      <c r="B39" s="16"/>
      <c r="C39" s="15"/>
      <c r="D39" s="15"/>
      <c r="E39" s="15"/>
      <c r="F39" s="15"/>
      <c r="G39" s="15"/>
      <c r="H39" s="14"/>
      <c r="I39" s="37"/>
    </row>
    <row r="40" spans="1:9" ht="22.5" customHeight="1">
      <c r="A40" s="37"/>
      <c r="B40" s="37"/>
      <c r="C40" s="37"/>
      <c r="D40" s="37"/>
      <c r="E40" s="37"/>
      <c r="F40" s="37"/>
      <c r="G40" s="37"/>
      <c r="H40" s="37"/>
      <c r="I40" s="37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A162-2AEC-4F8B-A98B-14090C3FF813}">
  <sheetPr codeName="Arkusz1"/>
  <dimension ref="B2:I18"/>
  <sheetViews>
    <sheetView zoomScaleNormal="100" workbookViewId="0">
      <selection activeCell="F18" sqref="F18"/>
    </sheetView>
  </sheetViews>
  <sheetFormatPr defaultRowHeight="12.75"/>
  <cols>
    <col min="1" max="1" width="3.7109375" customWidth="1"/>
    <col min="2" max="2" width="26.28515625" customWidth="1"/>
    <col min="3" max="3" width="23.5703125" customWidth="1"/>
    <col min="4" max="4" width="36.5703125" customWidth="1"/>
    <col min="5" max="5" width="7.7109375" customWidth="1"/>
    <col min="6" max="6" width="15.42578125" customWidth="1"/>
    <col min="7" max="7" width="10.28515625" customWidth="1"/>
    <col min="8" max="8" width="10" customWidth="1"/>
    <col min="9" max="9" width="10.7109375" customWidth="1"/>
    <col min="10" max="10" width="3.7109375" customWidth="1"/>
  </cols>
  <sheetData>
    <row r="2" spans="2:9" ht="18.75" customHeight="1" thickBot="1">
      <c r="B2" s="1" t="s">
        <v>120</v>
      </c>
      <c r="C2" s="1"/>
      <c r="D2" s="1"/>
      <c r="E2" s="1"/>
      <c r="F2" s="1"/>
      <c r="G2" s="1"/>
      <c r="H2" s="1"/>
      <c r="I2" s="1"/>
    </row>
    <row r="3" spans="2:9" ht="18.75" customHeight="1" thickBot="1">
      <c r="B3" s="39" t="s">
        <v>0</v>
      </c>
      <c r="C3" s="39" t="s">
        <v>1</v>
      </c>
      <c r="D3" s="39" t="s">
        <v>2</v>
      </c>
      <c r="E3" s="39" t="s">
        <v>3</v>
      </c>
      <c r="F3" s="39" t="s">
        <v>4</v>
      </c>
      <c r="G3" s="39" t="s">
        <v>5</v>
      </c>
      <c r="H3" s="39" t="s">
        <v>6</v>
      </c>
      <c r="I3" s="39" t="s">
        <v>7</v>
      </c>
    </row>
    <row r="4" spans="2:9" ht="38.25">
      <c r="B4" s="43" t="s">
        <v>8</v>
      </c>
      <c r="C4" s="43" t="s">
        <v>9</v>
      </c>
      <c r="D4" s="43" t="s">
        <v>10</v>
      </c>
      <c r="E4" s="43" t="s">
        <v>3</v>
      </c>
      <c r="F4" s="43" t="s">
        <v>11</v>
      </c>
      <c r="G4" s="43" t="s">
        <v>12</v>
      </c>
      <c r="H4" s="43" t="s">
        <v>13</v>
      </c>
      <c r="I4" s="43" t="s">
        <v>14</v>
      </c>
    </row>
    <row r="5" spans="2:9" ht="18.75" customHeight="1">
      <c r="B5" s="44" t="s">
        <v>15</v>
      </c>
      <c r="C5" s="44"/>
      <c r="D5" s="44"/>
      <c r="E5" s="44"/>
      <c r="F5" s="44"/>
      <c r="G5" s="44"/>
      <c r="H5" s="44"/>
      <c r="I5" s="44"/>
    </row>
    <row r="6" spans="2:9" ht="18.75" customHeight="1"/>
    <row r="7" spans="2:9" ht="18.75" customHeight="1"/>
    <row r="8" spans="2:9" ht="18.75" customHeight="1"/>
    <row r="9" spans="2:9" ht="18.75" customHeight="1"/>
    <row r="10" spans="2:9" ht="18.75" customHeight="1"/>
    <row r="11" spans="2:9" ht="18.75" customHeight="1"/>
    <row r="12" spans="2:9" ht="18.75" customHeight="1"/>
    <row r="13" spans="2:9" ht="18.75" customHeight="1"/>
    <row r="14" spans="2:9" ht="18.75" customHeight="1"/>
    <row r="15" spans="2:9" ht="18.75" customHeight="1"/>
    <row r="16" spans="2:9" ht="18.75" customHeight="1"/>
    <row r="17" ht="18.75" customHeight="1"/>
    <row r="18" ht="18.75" customHeight="1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5466-3A0C-4B6F-B96F-A3CDBDB0068F}">
  <sheetPr codeName="Arkusz2"/>
  <dimension ref="B2:I61"/>
  <sheetViews>
    <sheetView tabSelected="1" zoomScaleNormal="100" workbookViewId="0">
      <selection activeCell="D18" sqref="D18"/>
    </sheetView>
  </sheetViews>
  <sheetFormatPr defaultRowHeight="12.75"/>
  <cols>
    <col min="1" max="1" width="3.7109375" customWidth="1"/>
    <col min="2" max="2" width="29" customWidth="1"/>
    <col min="3" max="3" width="26.5703125" customWidth="1"/>
    <col min="4" max="4" width="40.85546875" customWidth="1"/>
    <col min="5" max="5" width="18.42578125" customWidth="1"/>
    <col min="6" max="6" width="31.28515625" customWidth="1"/>
    <col min="7" max="7" width="12" customWidth="1"/>
    <col min="8" max="8" width="10.7109375" customWidth="1"/>
    <col min="10" max="10" width="3.7109375" customWidth="1"/>
  </cols>
  <sheetData>
    <row r="2" spans="2:9" ht="18.75" customHeight="1" thickBot="1">
      <c r="B2" s="1" t="s">
        <v>16</v>
      </c>
      <c r="C2" s="1"/>
      <c r="D2" s="1"/>
      <c r="E2" s="1"/>
      <c r="F2" s="1"/>
      <c r="G2" s="1"/>
      <c r="H2" s="1"/>
      <c r="I2" s="1"/>
    </row>
    <row r="3" spans="2:9" ht="18.75" customHeight="1" thickBot="1">
      <c r="B3" s="39" t="s">
        <v>17</v>
      </c>
      <c r="C3" s="39" t="s">
        <v>18</v>
      </c>
      <c r="D3" s="39" t="s">
        <v>19</v>
      </c>
      <c r="E3" s="39" t="s">
        <v>20</v>
      </c>
      <c r="F3" s="39" t="s">
        <v>21</v>
      </c>
      <c r="G3" s="39" t="s">
        <v>22</v>
      </c>
      <c r="H3" s="39" t="s">
        <v>23</v>
      </c>
      <c r="I3" s="39" t="s">
        <v>24</v>
      </c>
    </row>
    <row r="4" spans="2:9" ht="38.25">
      <c r="B4" s="43" t="s">
        <v>25</v>
      </c>
      <c r="C4" s="43" t="s">
        <v>26</v>
      </c>
      <c r="D4" s="43" t="s">
        <v>27</v>
      </c>
      <c r="E4" s="43" t="s">
        <v>28</v>
      </c>
      <c r="F4" s="43" t="s">
        <v>29</v>
      </c>
      <c r="G4" s="43" t="s">
        <v>30</v>
      </c>
      <c r="H4" s="43" t="s">
        <v>31</v>
      </c>
      <c r="I4" s="43" t="s">
        <v>32</v>
      </c>
    </row>
    <row r="5" spans="2:9" ht="18.75" customHeight="1">
      <c r="B5" s="48" t="s">
        <v>60</v>
      </c>
      <c r="C5" s="47"/>
      <c r="D5" s="47"/>
      <c r="E5" s="47"/>
      <c r="F5" s="47"/>
      <c r="G5" s="47"/>
      <c r="H5" s="47"/>
      <c r="I5" s="47"/>
    </row>
    <row r="6" spans="2:9" ht="18.75" customHeight="1">
      <c r="B6" s="49" t="s">
        <v>33</v>
      </c>
      <c r="C6" s="75" t="s">
        <v>122</v>
      </c>
      <c r="D6" s="75" t="s">
        <v>118</v>
      </c>
      <c r="E6" s="49" t="s">
        <v>57</v>
      </c>
      <c r="F6" s="49" t="s">
        <v>58</v>
      </c>
      <c r="G6" s="49" t="s">
        <v>59</v>
      </c>
      <c r="H6" s="49"/>
      <c r="I6" s="49"/>
    </row>
    <row r="7" spans="2:9" ht="18.75" customHeight="1">
      <c r="B7" s="49" t="s">
        <v>33</v>
      </c>
      <c r="C7" s="75" t="s">
        <v>123</v>
      </c>
      <c r="D7" s="38" t="s">
        <v>119</v>
      </c>
      <c r="E7" s="75" t="s">
        <v>57</v>
      </c>
      <c r="F7" s="49" t="s">
        <v>58</v>
      </c>
      <c r="G7" s="49" t="s">
        <v>59</v>
      </c>
    </row>
    <row r="8" spans="2:9" ht="18.75" customHeight="1"/>
    <row r="9" spans="2:9" ht="18.75" customHeight="1"/>
    <row r="10" spans="2:9" ht="18.75" customHeight="1"/>
    <row r="11" spans="2:9" ht="18.75" customHeight="1"/>
    <row r="12" spans="2:9" ht="18.75" customHeight="1"/>
    <row r="13" spans="2:9" ht="18.75" customHeight="1"/>
    <row r="14" spans="2:9" ht="18.75" customHeight="1"/>
    <row r="15" spans="2:9" ht="18.75" customHeight="1"/>
    <row r="16" spans="2:9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60" spans="2:2">
      <c r="B60" s="38"/>
    </row>
    <row r="61" spans="2:2">
      <c r="B61" s="38"/>
    </row>
  </sheetData>
  <phoneticPr fontId="2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AC4B-5FB5-4256-9F41-345A2A334A0A}">
  <dimension ref="B3:X30"/>
  <sheetViews>
    <sheetView topLeftCell="B1" zoomScale="85" zoomScaleNormal="85" workbookViewId="0">
      <selection activeCell="O14" sqref="O14"/>
    </sheetView>
  </sheetViews>
  <sheetFormatPr defaultColWidth="9.140625" defaultRowHeight="12.75"/>
  <cols>
    <col min="1" max="1" width="2.85546875" style="57" customWidth="1"/>
    <col min="2" max="2" width="40.7109375" style="57" customWidth="1"/>
    <col min="3" max="3" width="31.28515625" style="57" customWidth="1"/>
    <col min="4" max="4" width="27.5703125" style="57" bestFit="1" customWidth="1"/>
    <col min="5" max="5" width="23.28515625" style="57" customWidth="1"/>
    <col min="6" max="6" width="15.140625" style="57" customWidth="1"/>
    <col min="7" max="7" width="15.85546875" style="57" customWidth="1"/>
    <col min="8" max="8" width="13.42578125" style="57" bestFit="1" customWidth="1"/>
    <col min="9" max="9" width="14.85546875" style="57" bestFit="1" customWidth="1"/>
    <col min="10" max="10" width="11.42578125" style="57" customWidth="1"/>
    <col min="11" max="11" width="12" style="57" customWidth="1"/>
    <col min="12" max="13" width="13.140625" style="57" customWidth="1"/>
    <col min="14" max="15" width="11.28515625" style="57" customWidth="1"/>
    <col min="16" max="16" width="14.5703125" style="57" customWidth="1"/>
    <col min="17" max="17" width="13.140625" style="57" customWidth="1"/>
    <col min="18" max="18" width="13.85546875" style="57" customWidth="1"/>
    <col min="19" max="19" width="11.42578125" style="57" customWidth="1"/>
    <col min="20" max="20" width="9.140625" style="57"/>
    <col min="21" max="21" width="51.42578125" style="57" customWidth="1"/>
    <col min="22" max="24" width="18.140625" style="57" customWidth="1"/>
    <col min="25" max="16384" width="9.140625" style="57"/>
  </cols>
  <sheetData>
    <row r="3" spans="2:23" ht="15.75">
      <c r="B3" s="56"/>
    </row>
    <row r="4" spans="2:23" ht="15.75">
      <c r="B4" s="56"/>
    </row>
    <row r="5" spans="2:23">
      <c r="F5" s="58"/>
      <c r="G5" s="58"/>
      <c r="H5" s="59"/>
      <c r="I5" s="59"/>
      <c r="J5" s="59"/>
      <c r="K5" s="60"/>
    </row>
    <row r="6" spans="2:23" ht="18">
      <c r="B6" s="61" t="s">
        <v>101</v>
      </c>
      <c r="E6" s="59" t="s">
        <v>34</v>
      </c>
      <c r="F6" s="59"/>
      <c r="G6" s="59"/>
    </row>
    <row r="7" spans="2:23" ht="26.45" customHeight="1">
      <c r="B7" s="62" t="s">
        <v>18</v>
      </c>
      <c r="C7" s="62" t="s">
        <v>35</v>
      </c>
      <c r="D7" s="62" t="s">
        <v>36</v>
      </c>
      <c r="E7" s="74" t="s">
        <v>37</v>
      </c>
      <c r="F7" s="74" t="s">
        <v>55</v>
      </c>
      <c r="G7" s="74" t="s">
        <v>61</v>
      </c>
      <c r="H7" s="74" t="s">
        <v>62</v>
      </c>
      <c r="I7" s="63" t="s">
        <v>38</v>
      </c>
      <c r="J7" s="63" t="s">
        <v>63</v>
      </c>
      <c r="K7" s="63" t="s">
        <v>56</v>
      </c>
      <c r="L7" s="64" t="s">
        <v>39</v>
      </c>
      <c r="M7" s="63" t="s">
        <v>64</v>
      </c>
      <c r="N7" s="63" t="s">
        <v>65</v>
      </c>
      <c r="O7" s="63" t="s">
        <v>100</v>
      </c>
      <c r="U7" s="77" t="s">
        <v>121</v>
      </c>
      <c r="V7" s="57">
        <v>4.5</v>
      </c>
    </row>
    <row r="8" spans="2:23" s="60" customFormat="1" ht="39" thickBot="1">
      <c r="B8" s="65" t="s">
        <v>66</v>
      </c>
      <c r="C8" s="65" t="s">
        <v>27</v>
      </c>
      <c r="D8" s="65" t="s">
        <v>67</v>
      </c>
      <c r="E8" s="65" t="s">
        <v>68</v>
      </c>
      <c r="F8" s="65" t="s">
        <v>69</v>
      </c>
      <c r="G8" s="65" t="s">
        <v>102</v>
      </c>
      <c r="H8" s="66" t="s">
        <v>117</v>
      </c>
      <c r="I8" s="65" t="s">
        <v>72</v>
      </c>
      <c r="J8" s="65" t="s">
        <v>73</v>
      </c>
      <c r="K8" s="65" t="s">
        <v>74</v>
      </c>
      <c r="L8" s="67" t="s">
        <v>75</v>
      </c>
      <c r="M8" s="65" t="s">
        <v>76</v>
      </c>
      <c r="N8" s="65" t="s">
        <v>103</v>
      </c>
      <c r="O8" s="65" t="s">
        <v>103</v>
      </c>
      <c r="P8" s="57"/>
      <c r="Q8" s="57"/>
      <c r="R8" s="57"/>
    </row>
    <row r="9" spans="2:23" ht="27.75" customHeight="1" thickBot="1">
      <c r="B9" s="57" t="str">
        <f>SEC_Processes!C6</f>
        <v>AGR_NEW_BIOCH4</v>
      </c>
      <c r="C9" s="57" t="str">
        <f>SEC_Processes!D6</f>
        <v>Biomethane plant</v>
      </c>
      <c r="F9" s="57">
        <v>2025</v>
      </c>
      <c r="I9" s="57">
        <v>1</v>
      </c>
      <c r="J9" s="57">
        <v>25</v>
      </c>
      <c r="K9" s="57">
        <v>1</v>
      </c>
      <c r="L9" s="68">
        <f>V7*SUM(W10:W12)/8760*H30*1000/3.6</f>
        <v>11.272831050228312</v>
      </c>
      <c r="M9" s="57">
        <v>0</v>
      </c>
      <c r="N9" s="57">
        <f>V7*SUM(W13:W14)/1000*W19</f>
        <v>1.48125</v>
      </c>
      <c r="U9" s="69" t="s">
        <v>104</v>
      </c>
      <c r="V9" s="70" t="s">
        <v>105</v>
      </c>
      <c r="W9" s="70" t="s">
        <v>106</v>
      </c>
    </row>
    <row r="10" spans="2:23" ht="15" thickBot="1">
      <c r="D10" s="57" t="s">
        <v>78</v>
      </c>
      <c r="G10" s="57">
        <v>0.22134999999999999</v>
      </c>
      <c r="O10" s="57">
        <f>V7*$W$17/(G10*1000)</f>
        <v>0.20329794443189519</v>
      </c>
      <c r="U10" s="71" t="s">
        <v>107</v>
      </c>
      <c r="V10" s="72">
        <v>4300</v>
      </c>
      <c r="W10" s="72">
        <v>1600</v>
      </c>
    </row>
    <row r="11" spans="2:23" ht="15" thickBot="1">
      <c r="D11" s="57" t="s">
        <v>79</v>
      </c>
      <c r="G11" s="57">
        <v>0.22134999999999999</v>
      </c>
      <c r="O11" s="57">
        <f>V7*$W$17/(G11*1000)</f>
        <v>0.20329794443189519</v>
      </c>
      <c r="U11" s="71" t="s">
        <v>108</v>
      </c>
      <c r="V11" s="72">
        <v>800</v>
      </c>
      <c r="W11" s="72">
        <v>300</v>
      </c>
    </row>
    <row r="12" spans="2:23" ht="15" thickBot="1">
      <c r="D12" s="57" t="s">
        <v>80</v>
      </c>
      <c r="G12" s="57">
        <v>0.19190000000000002</v>
      </c>
      <c r="O12" s="57">
        <f>V7*$W$17/(G12*1000)</f>
        <v>0.23449713392391869</v>
      </c>
      <c r="U12" s="71" t="s">
        <v>109</v>
      </c>
      <c r="V12" s="72">
        <v>270</v>
      </c>
      <c r="W12" s="72">
        <v>100</v>
      </c>
    </row>
    <row r="13" spans="2:23" ht="15" thickBot="1">
      <c r="D13" s="57" t="s">
        <v>81</v>
      </c>
      <c r="G13" s="57">
        <v>0.22134999999999999</v>
      </c>
      <c r="O13" s="57">
        <f>V7*$W$17/(G13*1000)</f>
        <v>0.20329794443189519</v>
      </c>
      <c r="U13" s="71" t="s">
        <v>110</v>
      </c>
      <c r="V13" s="72">
        <v>20</v>
      </c>
      <c r="W13" s="72">
        <v>20</v>
      </c>
    </row>
    <row r="14" spans="2:23" ht="15" thickBot="1">
      <c r="D14" s="57" t="s">
        <v>82</v>
      </c>
      <c r="G14" s="57">
        <v>0.22134999999999999</v>
      </c>
      <c r="O14" s="57">
        <f>V7*$W$17/(G14*1000)</f>
        <v>0.20329794443189519</v>
      </c>
      <c r="U14" s="71" t="s">
        <v>111</v>
      </c>
      <c r="V14" s="72">
        <v>15</v>
      </c>
      <c r="W14" s="72">
        <v>10</v>
      </c>
    </row>
    <row r="15" spans="2:23" ht="15" thickBot="1">
      <c r="D15" s="57" t="s">
        <v>83</v>
      </c>
      <c r="G15" s="57">
        <v>0.22134999999999999</v>
      </c>
      <c r="O15" s="57">
        <f>V7*$W$17/(G15*1000)</f>
        <v>0.20329794443189519</v>
      </c>
      <c r="U15" s="71" t="s">
        <v>112</v>
      </c>
      <c r="V15" s="72">
        <v>2</v>
      </c>
      <c r="W15" s="72">
        <v>3</v>
      </c>
    </row>
    <row r="16" spans="2:23" ht="15" thickBot="1">
      <c r="D16" s="57" t="s">
        <v>84</v>
      </c>
      <c r="G16" s="57">
        <v>0.22134999999999999</v>
      </c>
      <c r="O16" s="57">
        <f>V7*$W$17/(G16*1000)</f>
        <v>0.20329794443189519</v>
      </c>
      <c r="U16" s="71" t="s">
        <v>113</v>
      </c>
      <c r="V16" s="72">
        <v>16</v>
      </c>
      <c r="W16" s="72">
        <v>13</v>
      </c>
    </row>
    <row r="17" spans="2:24" ht="15" thickBot="1">
      <c r="D17" s="57" t="s">
        <v>85</v>
      </c>
      <c r="G17" s="57">
        <v>0.22134999999999999</v>
      </c>
      <c r="O17" s="57">
        <f>V7*$W$17/(G17*1000)</f>
        <v>0.20329794443189519</v>
      </c>
      <c r="U17" s="71" t="s">
        <v>116</v>
      </c>
      <c r="V17" s="72">
        <v>10</v>
      </c>
      <c r="W17" s="72">
        <v>10</v>
      </c>
    </row>
    <row r="18" spans="2:24">
      <c r="D18" s="57" t="s">
        <v>86</v>
      </c>
      <c r="G18" s="57">
        <v>0</v>
      </c>
    </row>
    <row r="19" spans="2:24">
      <c r="D19" s="57" t="s">
        <v>87</v>
      </c>
      <c r="G19" s="57">
        <v>0</v>
      </c>
      <c r="U19" s="57" t="s">
        <v>114</v>
      </c>
      <c r="W19" s="57">
        <f>H30*1000/3.6</f>
        <v>10.972222222222221</v>
      </c>
      <c r="X19" s="57" t="s">
        <v>115</v>
      </c>
    </row>
    <row r="20" spans="2:24">
      <c r="D20" s="57" t="s">
        <v>88</v>
      </c>
      <c r="G20" s="57">
        <v>0</v>
      </c>
    </row>
    <row r="21" spans="2:24">
      <c r="D21" s="57" t="s">
        <v>89</v>
      </c>
      <c r="G21" s="57">
        <v>0</v>
      </c>
    </row>
    <row r="22" spans="2:24">
      <c r="D22" s="57" t="s">
        <v>90</v>
      </c>
      <c r="G22" s="57">
        <v>0</v>
      </c>
    </row>
    <row r="23" spans="2:24">
      <c r="D23" s="57" t="s">
        <v>91</v>
      </c>
      <c r="G23" s="57">
        <v>0</v>
      </c>
    </row>
    <row r="24" spans="2:24">
      <c r="D24" s="57" t="s">
        <v>92</v>
      </c>
      <c r="G24" s="57">
        <v>5.5100000000000003E-2</v>
      </c>
      <c r="O24" s="57">
        <f>V7*$W$16/(G24*1000)</f>
        <v>1.0617059891107077</v>
      </c>
    </row>
    <row r="25" spans="2:24">
      <c r="D25" s="57" t="s">
        <v>93</v>
      </c>
      <c r="G25" s="57">
        <v>5.5100000000000003E-2</v>
      </c>
      <c r="O25" s="57">
        <f>V7*$W$16/(G25*1000)</f>
        <v>1.0617059891107077</v>
      </c>
    </row>
    <row r="26" spans="2:24">
      <c r="D26" s="57" t="s">
        <v>94</v>
      </c>
      <c r="G26" s="57">
        <v>0</v>
      </c>
    </row>
    <row r="27" spans="2:24">
      <c r="D27" s="57" t="s">
        <v>95</v>
      </c>
      <c r="G27" s="57">
        <v>7.6E-3</v>
      </c>
      <c r="O27" s="57">
        <f>V7*$W$16/(G27*1000)</f>
        <v>7.6973684210526319</v>
      </c>
    </row>
    <row r="28" spans="2:24">
      <c r="D28" s="57" t="s">
        <v>96</v>
      </c>
      <c r="G28" s="57">
        <v>0</v>
      </c>
    </row>
    <row r="29" spans="2:24">
      <c r="D29" s="57" t="s">
        <v>97</v>
      </c>
      <c r="G29" s="57">
        <v>4.9399999999999993E-2</v>
      </c>
      <c r="O29" s="57">
        <f>V7*$W$16/(G29*1000)</f>
        <v>1.1842105263157896</v>
      </c>
    </row>
    <row r="30" spans="2:24">
      <c r="B30" s="73"/>
      <c r="C30" s="73"/>
      <c r="D30" s="73"/>
      <c r="E30" s="73" t="s">
        <v>124</v>
      </c>
      <c r="F30" s="73"/>
      <c r="G30" s="73"/>
      <c r="H30" s="73">
        <f>39.5/1000</f>
        <v>3.95E-2</v>
      </c>
      <c r="I30" s="73"/>
      <c r="J30" s="73"/>
      <c r="K30" s="73"/>
      <c r="L30" s="73"/>
      <c r="M30" s="73"/>
      <c r="N30" s="73"/>
    </row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069-727F-4590-A036-95CD2DFFF4F8}">
  <dimension ref="B3:X30"/>
  <sheetViews>
    <sheetView topLeftCell="B1" zoomScale="85" zoomScaleNormal="85" workbookViewId="0">
      <selection activeCell="G10" sqref="G10:G20"/>
    </sheetView>
  </sheetViews>
  <sheetFormatPr defaultColWidth="9.140625" defaultRowHeight="12.75"/>
  <cols>
    <col min="1" max="1" width="2.85546875" style="57" customWidth="1"/>
    <col min="2" max="2" width="40.7109375" style="57" customWidth="1"/>
    <col min="3" max="3" width="31.28515625" style="57" customWidth="1"/>
    <col min="4" max="4" width="27.5703125" style="57" bestFit="1" customWidth="1"/>
    <col min="5" max="5" width="15.85546875" style="57" customWidth="1"/>
    <col min="6" max="6" width="15.140625" style="57" customWidth="1"/>
    <col min="7" max="7" width="15.85546875" style="57" customWidth="1"/>
    <col min="8" max="8" width="13.42578125" style="57" bestFit="1" customWidth="1"/>
    <col min="9" max="9" width="14.85546875" style="57" bestFit="1" customWidth="1"/>
    <col min="10" max="10" width="11.42578125" style="57" customWidth="1"/>
    <col min="11" max="11" width="12" style="57" customWidth="1"/>
    <col min="12" max="13" width="13.140625" style="57" customWidth="1"/>
    <col min="14" max="15" width="11.28515625" style="57" customWidth="1"/>
    <col min="16" max="16" width="14.5703125" style="57" customWidth="1"/>
    <col min="17" max="17" width="13.140625" style="57" customWidth="1"/>
    <col min="18" max="18" width="13.85546875" style="57" customWidth="1"/>
    <col min="19" max="19" width="11.42578125" style="57" customWidth="1"/>
    <col min="20" max="20" width="9.140625" style="57"/>
    <col min="21" max="21" width="51.42578125" style="57" customWidth="1"/>
    <col min="22" max="24" width="18.140625" style="57" customWidth="1"/>
    <col min="25" max="16384" width="9.140625" style="57"/>
  </cols>
  <sheetData>
    <row r="3" spans="2:23" ht="15.75">
      <c r="B3" s="56"/>
    </row>
    <row r="4" spans="2:23" ht="15.75">
      <c r="B4" s="56"/>
    </row>
    <row r="5" spans="2:23">
      <c r="F5" s="58"/>
      <c r="G5" s="58"/>
      <c r="H5" s="59"/>
      <c r="I5" s="59"/>
      <c r="J5" s="59"/>
      <c r="K5" s="60"/>
    </row>
    <row r="6" spans="2:23" ht="18">
      <c r="B6" s="61" t="s">
        <v>101</v>
      </c>
      <c r="E6" s="59" t="s">
        <v>34</v>
      </c>
      <c r="F6" s="59"/>
      <c r="G6" s="59"/>
    </row>
    <row r="7" spans="2:23" ht="26.45" customHeight="1">
      <c r="B7" s="62" t="s">
        <v>18</v>
      </c>
      <c r="C7" s="62" t="s">
        <v>35</v>
      </c>
      <c r="D7" s="62" t="s">
        <v>36</v>
      </c>
      <c r="E7" s="74" t="s">
        <v>37</v>
      </c>
      <c r="F7" s="74" t="s">
        <v>55</v>
      </c>
      <c r="G7" s="74" t="s">
        <v>61</v>
      </c>
      <c r="H7" s="74" t="s">
        <v>62</v>
      </c>
      <c r="I7" s="63" t="s">
        <v>38</v>
      </c>
      <c r="J7" s="63" t="s">
        <v>63</v>
      </c>
      <c r="K7" s="63" t="s">
        <v>56</v>
      </c>
      <c r="L7" s="64" t="s">
        <v>39</v>
      </c>
      <c r="M7" s="63" t="s">
        <v>64</v>
      </c>
      <c r="N7" s="63" t="s">
        <v>65</v>
      </c>
      <c r="O7" s="63" t="s">
        <v>100</v>
      </c>
      <c r="U7" s="77" t="s">
        <v>121</v>
      </c>
      <c r="V7" s="57">
        <v>4.5</v>
      </c>
    </row>
    <row r="8" spans="2:23" s="60" customFormat="1" ht="39" thickBot="1">
      <c r="B8" s="65" t="s">
        <v>66</v>
      </c>
      <c r="C8" s="65" t="s">
        <v>27</v>
      </c>
      <c r="D8" s="65" t="s">
        <v>67</v>
      </c>
      <c r="E8" s="65" t="s">
        <v>68</v>
      </c>
      <c r="F8" s="65" t="s">
        <v>69</v>
      </c>
      <c r="G8" s="65" t="s">
        <v>102</v>
      </c>
      <c r="H8" s="66" t="s">
        <v>117</v>
      </c>
      <c r="I8" s="65" t="s">
        <v>72</v>
      </c>
      <c r="J8" s="65" t="s">
        <v>73</v>
      </c>
      <c r="K8" s="65" t="s">
        <v>74</v>
      </c>
      <c r="L8" s="67" t="s">
        <v>75</v>
      </c>
      <c r="M8" s="65" t="s">
        <v>76</v>
      </c>
      <c r="N8" s="65" t="s">
        <v>103</v>
      </c>
      <c r="O8" s="65" t="s">
        <v>103</v>
      </c>
      <c r="P8" s="57"/>
      <c r="Q8" s="57"/>
      <c r="R8" s="57"/>
    </row>
    <row r="9" spans="2:23" ht="27.75" customHeight="1" thickBot="1">
      <c r="B9" s="57" t="str">
        <f>SEC_Processes!C7</f>
        <v>AGR_NEW_BIOG</v>
      </c>
      <c r="C9" s="57" t="str">
        <f>SEC_Processes!D6</f>
        <v>Biomethane plant</v>
      </c>
      <c r="F9" s="57">
        <v>2025</v>
      </c>
      <c r="I9" s="57">
        <v>1</v>
      </c>
      <c r="J9" s="57">
        <v>25</v>
      </c>
      <c r="K9" s="57">
        <v>1</v>
      </c>
      <c r="L9" s="68">
        <f>V7*SUM(W10)/8760*H30*1000/3.6</f>
        <v>5.2511415525114149</v>
      </c>
      <c r="M9" s="57">
        <v>0</v>
      </c>
      <c r="N9" s="57">
        <f>V7*W13/1000*W19</f>
        <v>0.57499999999999996</v>
      </c>
      <c r="U9" s="69" t="s">
        <v>104</v>
      </c>
      <c r="V9" s="70" t="s">
        <v>105</v>
      </c>
      <c r="W9" s="70" t="s">
        <v>106</v>
      </c>
    </row>
    <row r="10" spans="2:23" ht="15" thickBot="1">
      <c r="D10" s="57" t="s">
        <v>78</v>
      </c>
      <c r="G10" s="76">
        <v>0.30590000000000001</v>
      </c>
      <c r="O10" s="57">
        <f>4.29*$W$17/(G10*1000)</f>
        <v>0.14024190912062767</v>
      </c>
      <c r="U10" s="71" t="s">
        <v>107</v>
      </c>
      <c r="V10" s="72">
        <v>4300</v>
      </c>
      <c r="W10" s="72">
        <v>1600</v>
      </c>
    </row>
    <row r="11" spans="2:23" ht="15" thickBot="1">
      <c r="D11" s="57" t="s">
        <v>79</v>
      </c>
      <c r="G11" s="76">
        <v>0.30590000000000001</v>
      </c>
      <c r="O11" s="57">
        <f t="shared" ref="O11:O17" si="0">4.29*$W$17/(G11*1000)</f>
        <v>0.14024190912062767</v>
      </c>
      <c r="U11" s="71" t="s">
        <v>108</v>
      </c>
      <c r="V11" s="72">
        <v>800</v>
      </c>
      <c r="W11" s="72">
        <v>300</v>
      </c>
    </row>
    <row r="12" spans="2:23" ht="15" thickBot="1">
      <c r="D12" s="57" t="s">
        <v>80</v>
      </c>
      <c r="G12" s="76">
        <v>0.38855000000000001</v>
      </c>
      <c r="O12" s="57">
        <f t="shared" si="0"/>
        <v>0.11041050057907605</v>
      </c>
      <c r="U12" s="71" t="s">
        <v>109</v>
      </c>
      <c r="V12" s="72">
        <v>270</v>
      </c>
      <c r="W12" s="72">
        <v>100</v>
      </c>
    </row>
    <row r="13" spans="2:23" ht="15" thickBot="1">
      <c r="D13" s="57" t="s">
        <v>81</v>
      </c>
      <c r="G13" s="76">
        <v>0.30590000000000001</v>
      </c>
      <c r="O13" s="57">
        <f t="shared" si="0"/>
        <v>0.14024190912062767</v>
      </c>
      <c r="U13" s="71" t="s">
        <v>110</v>
      </c>
      <c r="V13" s="72">
        <v>20</v>
      </c>
      <c r="W13" s="72">
        <v>20</v>
      </c>
    </row>
    <row r="14" spans="2:23" ht="15" thickBot="1">
      <c r="D14" s="57" t="s">
        <v>82</v>
      </c>
      <c r="G14" s="76">
        <v>0.30590000000000001</v>
      </c>
      <c r="O14" s="57">
        <f t="shared" si="0"/>
        <v>0.14024190912062767</v>
      </c>
      <c r="U14" s="71" t="s">
        <v>111</v>
      </c>
      <c r="V14" s="72">
        <v>15</v>
      </c>
      <c r="W14" s="72">
        <v>10</v>
      </c>
    </row>
    <row r="15" spans="2:23" ht="15" thickBot="1">
      <c r="D15" s="57" t="s">
        <v>83</v>
      </c>
      <c r="G15" s="76">
        <v>0.30590000000000001</v>
      </c>
      <c r="O15" s="57">
        <f t="shared" si="0"/>
        <v>0.14024190912062767</v>
      </c>
      <c r="U15" s="71" t="s">
        <v>112</v>
      </c>
      <c r="V15" s="72">
        <v>2</v>
      </c>
      <c r="W15" s="72">
        <v>3</v>
      </c>
    </row>
    <row r="16" spans="2:23" ht="15" thickBot="1">
      <c r="D16" s="57" t="s">
        <v>84</v>
      </c>
      <c r="G16" s="76">
        <v>0.30590000000000001</v>
      </c>
      <c r="O16" s="57">
        <f t="shared" si="0"/>
        <v>0.14024190912062767</v>
      </c>
      <c r="U16" s="71" t="s">
        <v>113</v>
      </c>
      <c r="V16" s="72">
        <v>16</v>
      </c>
      <c r="W16" s="72">
        <v>13</v>
      </c>
    </row>
    <row r="17" spans="2:24" ht="15" thickBot="1">
      <c r="D17" s="57" t="s">
        <v>85</v>
      </c>
      <c r="G17" s="76">
        <v>0.30590000000000001</v>
      </c>
      <c r="O17" s="57">
        <f t="shared" si="0"/>
        <v>0.14024190912062767</v>
      </c>
      <c r="U17" s="71" t="s">
        <v>116</v>
      </c>
      <c r="V17" s="72">
        <v>10</v>
      </c>
      <c r="W17" s="72">
        <v>10</v>
      </c>
    </row>
    <row r="18" spans="2:24">
      <c r="D18" s="57" t="s">
        <v>86</v>
      </c>
      <c r="G18" s="76">
        <v>0</v>
      </c>
    </row>
    <row r="19" spans="2:24">
      <c r="D19" s="57" t="s">
        <v>87</v>
      </c>
      <c r="G19" s="76">
        <v>0</v>
      </c>
      <c r="U19" s="57" t="s">
        <v>114</v>
      </c>
      <c r="W19" s="57">
        <f>H30*1000/3.6</f>
        <v>6.3888888888888884</v>
      </c>
      <c r="X19" s="57" t="s">
        <v>115</v>
      </c>
    </row>
    <row r="20" spans="2:24">
      <c r="D20" s="57" t="s">
        <v>88</v>
      </c>
      <c r="G20" s="76">
        <v>0</v>
      </c>
    </row>
    <row r="21" spans="2:24">
      <c r="D21" s="57" t="s">
        <v>89</v>
      </c>
      <c r="G21" s="76">
        <v>0</v>
      </c>
    </row>
    <row r="22" spans="2:24">
      <c r="D22" s="57" t="s">
        <v>90</v>
      </c>
      <c r="G22" s="76">
        <v>0</v>
      </c>
    </row>
    <row r="23" spans="2:24">
      <c r="D23" s="57" t="s">
        <v>91</v>
      </c>
      <c r="G23" s="76">
        <v>0</v>
      </c>
    </row>
    <row r="24" spans="2:24">
      <c r="D24" s="57" t="s">
        <v>92</v>
      </c>
      <c r="G24" s="76">
        <v>9.7849999999999993E-2</v>
      </c>
      <c r="O24" s="57">
        <f>4.29*$W$16/(G24*1000)</f>
        <v>0.56995401124169653</v>
      </c>
    </row>
    <row r="25" spans="2:24">
      <c r="D25" s="57" t="s">
        <v>93</v>
      </c>
      <c r="G25" s="76">
        <v>9.7849999999999993E-2</v>
      </c>
      <c r="O25" s="57">
        <f t="shared" ref="O25:O29" si="1">4.29*$W$16/(G25*1000)</f>
        <v>0.56995401124169653</v>
      </c>
    </row>
    <row r="26" spans="2:24">
      <c r="D26" s="57" t="s">
        <v>94</v>
      </c>
      <c r="G26" s="76">
        <v>0</v>
      </c>
    </row>
    <row r="27" spans="2:24">
      <c r="D27" s="57" t="s">
        <v>95</v>
      </c>
      <c r="G27" s="76">
        <v>1.1875E-2</v>
      </c>
      <c r="O27" s="57">
        <f t="shared" si="1"/>
        <v>4.6964210526315791</v>
      </c>
    </row>
    <row r="28" spans="2:24">
      <c r="D28" s="57" t="s">
        <v>96</v>
      </c>
      <c r="G28" s="76">
        <v>0</v>
      </c>
    </row>
    <row r="29" spans="2:24">
      <c r="D29" s="57" t="s">
        <v>97</v>
      </c>
      <c r="G29" s="76">
        <v>8.8349999999999998E-2</v>
      </c>
      <c r="O29" s="57">
        <f t="shared" si="1"/>
        <v>0.63123938879456709</v>
      </c>
    </row>
    <row r="30" spans="2:24">
      <c r="B30" s="73"/>
      <c r="C30" s="73"/>
      <c r="D30" s="73"/>
      <c r="E30" s="73" t="s">
        <v>125</v>
      </c>
      <c r="F30" s="73"/>
      <c r="G30" s="73"/>
      <c r="H30" s="73">
        <f>23/1000</f>
        <v>2.3E-2</v>
      </c>
      <c r="I30" s="73"/>
      <c r="J30" s="73"/>
      <c r="K30" s="73"/>
      <c r="L30" s="73"/>
      <c r="M30" s="73"/>
      <c r="N30" s="73"/>
    </row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D1B1-7470-42D7-86A4-C4FDCA09865C}">
  <dimension ref="B2:O29"/>
  <sheetViews>
    <sheetView workbookViewId="0">
      <selection activeCell="D45" sqref="D45"/>
    </sheetView>
  </sheetViews>
  <sheetFormatPr defaultRowHeight="12.75"/>
  <cols>
    <col min="1" max="1" width="3.7109375" customWidth="1"/>
    <col min="2" max="2" width="23" bestFit="1" customWidth="1"/>
    <col min="3" max="3" width="27.5703125" bestFit="1" customWidth="1"/>
    <col min="4" max="4" width="33.28515625" bestFit="1" customWidth="1"/>
    <col min="5" max="5" width="17.28515625" bestFit="1" customWidth="1"/>
    <col min="6" max="6" width="12.42578125" bestFit="1" customWidth="1"/>
    <col min="7" max="7" width="9.85546875" bestFit="1" customWidth="1"/>
    <col min="8" max="8" width="8.28515625" bestFit="1" customWidth="1"/>
    <col min="9" max="9" width="23" bestFit="1" customWidth="1"/>
    <col min="10" max="10" width="18" bestFit="1" customWidth="1"/>
    <col min="11" max="11" width="24" bestFit="1" customWidth="1"/>
    <col min="12" max="12" width="20.7109375" bestFit="1" customWidth="1"/>
    <col min="13" max="13" width="15.5703125" bestFit="1" customWidth="1"/>
    <col min="14" max="14" width="17.85546875" bestFit="1" customWidth="1"/>
    <col min="15" max="15" width="17.85546875" customWidth="1"/>
    <col min="16" max="17" width="3.7109375" customWidth="1"/>
    <col min="18" max="18" width="31.7109375" bestFit="1" customWidth="1"/>
    <col min="19" max="19" width="18.7109375" bestFit="1" customWidth="1"/>
  </cols>
  <sheetData>
    <row r="2" spans="2:15" ht="18">
      <c r="B2" s="46" t="s">
        <v>99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4" spans="2:15" ht="18.75" customHeight="1" thickBo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18.75" customHeight="1" thickBot="1">
      <c r="B5" s="39" t="s">
        <v>18</v>
      </c>
      <c r="C5" s="39" t="s">
        <v>35</v>
      </c>
      <c r="D5" s="39" t="s">
        <v>36</v>
      </c>
      <c r="E5" s="39" t="s">
        <v>37</v>
      </c>
      <c r="F5" s="39" t="s">
        <v>55</v>
      </c>
      <c r="G5" s="39" t="s">
        <v>61</v>
      </c>
      <c r="H5" s="51" t="s">
        <v>62</v>
      </c>
      <c r="I5" s="39" t="s">
        <v>38</v>
      </c>
      <c r="J5" s="39" t="s">
        <v>63</v>
      </c>
      <c r="K5" s="39" t="s">
        <v>56</v>
      </c>
      <c r="L5" s="52" t="s">
        <v>39</v>
      </c>
      <c r="M5" s="39" t="s">
        <v>64</v>
      </c>
      <c r="N5" s="39" t="s">
        <v>65</v>
      </c>
      <c r="O5" s="39" t="s">
        <v>100</v>
      </c>
    </row>
    <row r="6" spans="2:15" ht="18.75" customHeight="1" thickBot="1">
      <c r="B6" s="53" t="s">
        <v>66</v>
      </c>
      <c r="C6" s="53" t="s">
        <v>27</v>
      </c>
      <c r="D6" s="53" t="s">
        <v>67</v>
      </c>
      <c r="E6" s="53" t="s">
        <v>68</v>
      </c>
      <c r="F6" s="53" t="s">
        <v>69</v>
      </c>
      <c r="G6" s="53" t="s">
        <v>70</v>
      </c>
      <c r="H6" s="54" t="s">
        <v>71</v>
      </c>
      <c r="I6" s="53" t="s">
        <v>72</v>
      </c>
      <c r="J6" s="53" t="s">
        <v>73</v>
      </c>
      <c r="K6" s="53" t="s">
        <v>74</v>
      </c>
      <c r="L6" s="55" t="s">
        <v>75</v>
      </c>
      <c r="M6" s="53" t="s">
        <v>76</v>
      </c>
      <c r="N6" s="53" t="s">
        <v>77</v>
      </c>
      <c r="O6" s="53"/>
    </row>
    <row r="7" spans="2:15" ht="18.75" customHeight="1">
      <c r="B7" s="40" t="str">
        <f>SEC_Processes!C6</f>
        <v>AGR_NEW_BIOCH4</v>
      </c>
      <c r="C7" s="40" t="str">
        <f>SEC_Processes!D6</f>
        <v>Biomethane plant</v>
      </c>
      <c r="D7" s="40"/>
      <c r="E7" s="40"/>
      <c r="F7" s="40">
        <v>2025</v>
      </c>
      <c r="G7" s="40"/>
      <c r="H7" s="40"/>
      <c r="I7" s="40">
        <v>1</v>
      </c>
      <c r="J7" s="40">
        <v>25</v>
      </c>
      <c r="K7" s="40">
        <v>1</v>
      </c>
      <c r="L7" s="50">
        <v>1.98</v>
      </c>
      <c r="M7" s="40">
        <v>0</v>
      </c>
      <c r="N7" s="40">
        <f>R7+S7</f>
        <v>0</v>
      </c>
      <c r="O7" s="40"/>
    </row>
    <row r="8" spans="2:15" ht="18.75" customHeight="1">
      <c r="B8" s="41"/>
      <c r="C8" s="41"/>
      <c r="D8" s="41" t="s">
        <v>78</v>
      </c>
      <c r="E8" s="41"/>
      <c r="F8" s="41"/>
      <c r="G8" s="41">
        <v>0.22134999999999999</v>
      </c>
      <c r="H8" s="41"/>
      <c r="I8" s="41"/>
      <c r="J8" s="41"/>
      <c r="K8" s="41"/>
      <c r="L8" s="41"/>
      <c r="M8" s="41"/>
      <c r="N8" s="41"/>
      <c r="O8" s="41"/>
    </row>
    <row r="9" spans="2:15" ht="18.75" customHeight="1">
      <c r="B9" s="40"/>
      <c r="C9" s="40"/>
      <c r="D9" s="40" t="s">
        <v>79</v>
      </c>
      <c r="E9" s="40"/>
      <c r="F9" s="40"/>
      <c r="G9" s="40">
        <v>0.22134999999999999</v>
      </c>
      <c r="H9" s="40"/>
      <c r="I9" s="40"/>
      <c r="J9" s="40"/>
      <c r="K9" s="40"/>
      <c r="L9" s="40"/>
      <c r="M9" s="40"/>
      <c r="N9" s="40"/>
      <c r="O9" s="40"/>
    </row>
    <row r="10" spans="2:15" ht="18.75" customHeight="1">
      <c r="B10" s="41"/>
      <c r="C10" s="41"/>
      <c r="D10" s="41" t="s">
        <v>80</v>
      </c>
      <c r="E10" s="41"/>
      <c r="F10" s="41"/>
      <c r="G10" s="41">
        <v>0.19190000000000002</v>
      </c>
      <c r="H10" s="41"/>
      <c r="I10" s="41"/>
      <c r="J10" s="41"/>
      <c r="K10" s="41"/>
      <c r="L10" s="41"/>
      <c r="M10" s="41"/>
      <c r="N10" s="41"/>
      <c r="O10" s="41"/>
    </row>
    <row r="11" spans="2:15" ht="18.75" customHeight="1">
      <c r="B11" s="40"/>
      <c r="C11" s="40"/>
      <c r="D11" s="40" t="s">
        <v>81</v>
      </c>
      <c r="E11" s="40"/>
      <c r="F11" s="40"/>
      <c r="G11" s="40">
        <v>0.22134999999999999</v>
      </c>
      <c r="H11" s="40"/>
      <c r="I11" s="40"/>
      <c r="J11" s="40"/>
      <c r="K11" s="40"/>
      <c r="L11" s="40"/>
      <c r="M11" s="40"/>
      <c r="N11" s="40"/>
      <c r="O11" s="40"/>
    </row>
    <row r="12" spans="2:15" ht="18.75" customHeight="1">
      <c r="B12" s="41"/>
      <c r="C12" s="41"/>
      <c r="D12" s="41" t="s">
        <v>82</v>
      </c>
      <c r="E12" s="41"/>
      <c r="F12" s="41"/>
      <c r="G12" s="41">
        <v>0.22134999999999999</v>
      </c>
      <c r="H12" s="41"/>
      <c r="I12" s="41"/>
      <c r="J12" s="41"/>
      <c r="K12" s="41"/>
      <c r="L12" s="41"/>
      <c r="M12" s="41"/>
      <c r="N12" s="41"/>
      <c r="O12" s="41"/>
    </row>
    <row r="13" spans="2:15" ht="18.75" customHeight="1">
      <c r="B13" s="40"/>
      <c r="C13" s="40"/>
      <c r="D13" s="40" t="s">
        <v>83</v>
      </c>
      <c r="E13" s="40"/>
      <c r="F13" s="40"/>
      <c r="G13" s="40">
        <v>0.22134999999999999</v>
      </c>
      <c r="H13" s="40"/>
      <c r="I13" s="40"/>
      <c r="J13" s="40"/>
      <c r="K13" s="40"/>
      <c r="L13" s="40"/>
      <c r="M13" s="40"/>
      <c r="N13" s="40"/>
      <c r="O13" s="40"/>
    </row>
    <row r="14" spans="2:15" ht="18.75" customHeight="1">
      <c r="B14" s="41"/>
      <c r="C14" s="41"/>
      <c r="D14" s="41" t="s">
        <v>84</v>
      </c>
      <c r="E14" s="41"/>
      <c r="F14" s="41"/>
      <c r="G14" s="41">
        <v>0.22134999999999999</v>
      </c>
      <c r="H14" s="41"/>
      <c r="I14" s="41"/>
      <c r="J14" s="41"/>
      <c r="K14" s="41"/>
      <c r="L14" s="41"/>
      <c r="M14" s="41"/>
      <c r="N14" s="41"/>
      <c r="O14" s="41"/>
    </row>
    <row r="15" spans="2:15" ht="18.75" customHeight="1">
      <c r="B15" s="40"/>
      <c r="C15" s="40"/>
      <c r="D15" s="40" t="s">
        <v>85</v>
      </c>
      <c r="E15" s="40"/>
      <c r="F15" s="40"/>
      <c r="G15" s="40">
        <v>0.22134999999999999</v>
      </c>
      <c r="H15" s="40"/>
      <c r="I15" s="40"/>
      <c r="J15" s="40"/>
      <c r="K15" s="40"/>
      <c r="L15" s="40"/>
      <c r="M15" s="40"/>
      <c r="N15" s="40"/>
      <c r="O15" s="40"/>
    </row>
    <row r="16" spans="2:15" ht="18.75" customHeight="1">
      <c r="B16" s="41"/>
      <c r="C16" s="41"/>
      <c r="D16" s="41" t="s">
        <v>86</v>
      </c>
      <c r="E16" s="41"/>
      <c r="F16" s="41"/>
      <c r="G16" s="41">
        <v>0</v>
      </c>
      <c r="H16" s="41"/>
      <c r="I16" s="41"/>
      <c r="J16" s="41"/>
      <c r="K16" s="41"/>
      <c r="L16" s="41"/>
      <c r="M16" s="41"/>
      <c r="N16" s="41"/>
      <c r="O16" s="41"/>
    </row>
    <row r="17" spans="2:15" ht="18.75" customHeight="1">
      <c r="B17" s="40"/>
      <c r="C17" s="40"/>
      <c r="D17" s="40" t="s">
        <v>87</v>
      </c>
      <c r="E17" s="40"/>
      <c r="F17" s="40"/>
      <c r="G17" s="40">
        <v>0</v>
      </c>
      <c r="H17" s="40"/>
      <c r="I17" s="40"/>
      <c r="J17" s="40"/>
      <c r="K17" s="40"/>
      <c r="L17" s="40"/>
      <c r="M17" s="40"/>
      <c r="N17" s="40"/>
      <c r="O17" s="40"/>
    </row>
    <row r="18" spans="2:15" ht="18.75" customHeight="1">
      <c r="B18" s="41"/>
      <c r="C18" s="41"/>
      <c r="D18" s="41" t="s">
        <v>88</v>
      </c>
      <c r="E18" s="41"/>
      <c r="F18" s="41"/>
      <c r="G18" s="41">
        <v>0</v>
      </c>
      <c r="H18" s="41"/>
      <c r="I18" s="41"/>
      <c r="J18" s="41"/>
      <c r="K18" s="41"/>
      <c r="L18" s="41"/>
      <c r="M18" s="41"/>
      <c r="N18" s="41"/>
      <c r="O18" s="41"/>
    </row>
    <row r="19" spans="2:15" ht="18.75" customHeight="1">
      <c r="B19" s="40"/>
      <c r="C19" s="40"/>
      <c r="D19" s="40" t="s">
        <v>89</v>
      </c>
      <c r="E19" s="40"/>
      <c r="F19" s="40"/>
      <c r="G19" s="40">
        <v>0</v>
      </c>
      <c r="H19" s="40"/>
      <c r="I19" s="40"/>
      <c r="J19" s="40"/>
      <c r="K19" s="40"/>
      <c r="L19" s="40"/>
      <c r="M19" s="40"/>
      <c r="N19" s="40"/>
      <c r="O19" s="40"/>
    </row>
    <row r="20" spans="2:15" ht="18.75" customHeight="1">
      <c r="B20" s="41"/>
      <c r="C20" s="41"/>
      <c r="D20" s="41" t="s">
        <v>90</v>
      </c>
      <c r="E20" s="41"/>
      <c r="F20" s="41"/>
      <c r="G20" s="41">
        <v>0</v>
      </c>
      <c r="H20" s="41"/>
      <c r="I20" s="41"/>
      <c r="J20" s="41"/>
      <c r="K20" s="41"/>
      <c r="L20" s="41"/>
      <c r="M20" s="41"/>
      <c r="N20" s="41"/>
      <c r="O20" s="41"/>
    </row>
    <row r="21" spans="2:15" ht="18.75" customHeight="1">
      <c r="B21" s="40"/>
      <c r="C21" s="40"/>
      <c r="D21" s="40" t="s">
        <v>91</v>
      </c>
      <c r="E21" s="40"/>
      <c r="F21" s="40"/>
      <c r="G21" s="40">
        <v>0</v>
      </c>
      <c r="H21" s="40"/>
      <c r="I21" s="40"/>
      <c r="J21" s="40"/>
      <c r="K21" s="40"/>
      <c r="L21" s="40"/>
      <c r="M21" s="40"/>
      <c r="N21" s="40"/>
      <c r="O21" s="40"/>
    </row>
    <row r="22" spans="2:15" ht="18.75" customHeight="1">
      <c r="B22" s="41"/>
      <c r="C22" s="41"/>
      <c r="D22" s="41" t="s">
        <v>92</v>
      </c>
      <c r="E22" s="41"/>
      <c r="F22" s="41"/>
      <c r="G22" s="41">
        <v>5.5100000000000003E-2</v>
      </c>
      <c r="H22" s="41"/>
      <c r="I22" s="41"/>
      <c r="J22" s="41"/>
      <c r="K22" s="41"/>
      <c r="L22" s="41"/>
      <c r="M22" s="41"/>
      <c r="N22" s="41"/>
      <c r="O22" s="41"/>
    </row>
    <row r="23" spans="2:15" ht="18.75" customHeight="1">
      <c r="B23" s="40"/>
      <c r="C23" s="40"/>
      <c r="D23" s="40" t="s">
        <v>93</v>
      </c>
      <c r="E23" s="40"/>
      <c r="F23" s="40"/>
      <c r="G23" s="40">
        <v>5.5100000000000003E-2</v>
      </c>
      <c r="H23" s="40"/>
      <c r="I23" s="40"/>
      <c r="J23" s="40"/>
      <c r="K23" s="40"/>
      <c r="L23" s="40"/>
      <c r="M23" s="40"/>
      <c r="N23" s="40"/>
      <c r="O23" s="40"/>
    </row>
    <row r="24" spans="2:15" ht="18.75" customHeight="1">
      <c r="B24" s="41"/>
      <c r="C24" s="41"/>
      <c r="D24" s="41" t="s">
        <v>94</v>
      </c>
      <c r="E24" s="41"/>
      <c r="F24" s="41"/>
      <c r="G24" s="41">
        <v>0</v>
      </c>
      <c r="H24" s="41"/>
      <c r="I24" s="41"/>
      <c r="J24" s="41"/>
      <c r="K24" s="41"/>
      <c r="L24" s="41"/>
      <c r="M24" s="41"/>
      <c r="N24" s="41"/>
      <c r="O24" s="41"/>
    </row>
    <row r="25" spans="2:15" ht="18.75" customHeight="1">
      <c r="B25" s="40"/>
      <c r="C25" s="40"/>
      <c r="D25" s="40" t="s">
        <v>95</v>
      </c>
      <c r="E25" s="40"/>
      <c r="F25" s="40"/>
      <c r="G25" s="40">
        <v>7.6E-3</v>
      </c>
      <c r="H25" s="40"/>
      <c r="I25" s="40"/>
      <c r="J25" s="40"/>
      <c r="K25" s="40"/>
      <c r="L25" s="40"/>
      <c r="M25" s="40"/>
      <c r="N25" s="40"/>
      <c r="O25" s="40"/>
    </row>
    <row r="26" spans="2:15" ht="18.75" customHeight="1">
      <c r="B26" s="41"/>
      <c r="C26" s="41"/>
      <c r="D26" s="41" t="s">
        <v>96</v>
      </c>
      <c r="E26" s="41"/>
      <c r="F26" s="41"/>
      <c r="G26" s="41">
        <v>0</v>
      </c>
      <c r="H26" s="41"/>
      <c r="I26" s="41"/>
      <c r="J26" s="41"/>
      <c r="K26" s="41"/>
      <c r="L26" s="41"/>
      <c r="M26" s="41"/>
      <c r="N26" s="41"/>
      <c r="O26" s="41"/>
    </row>
    <row r="27" spans="2:15" ht="18.75" customHeight="1">
      <c r="B27" s="40"/>
      <c r="C27" s="40"/>
      <c r="D27" s="40" t="s">
        <v>97</v>
      </c>
      <c r="E27" s="40"/>
      <c r="F27" s="40"/>
      <c r="G27" s="40">
        <v>4.9399999999999993E-2</v>
      </c>
      <c r="H27" s="40"/>
      <c r="I27" s="40"/>
      <c r="J27" s="40"/>
      <c r="K27" s="40"/>
      <c r="L27" s="40"/>
      <c r="M27" s="40"/>
      <c r="N27" s="40"/>
      <c r="O27" s="40"/>
    </row>
    <row r="28" spans="2:15" ht="18.75" customHeight="1" thickBot="1">
      <c r="B28" s="45"/>
      <c r="C28" s="45"/>
      <c r="D28" s="45"/>
      <c r="E28" s="45" t="s">
        <v>98</v>
      </c>
      <c r="F28" s="45"/>
      <c r="G28" s="45"/>
      <c r="H28" s="45">
        <v>39.5</v>
      </c>
      <c r="I28" s="45"/>
      <c r="J28" s="45"/>
      <c r="K28" s="45"/>
      <c r="L28" s="45"/>
      <c r="M28" s="45"/>
      <c r="N28" s="45"/>
      <c r="O28" s="45"/>
    </row>
    <row r="29" spans="2:15" ht="13.5" thickTop="1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8e60135c9ff18117bb10fbbf3d19053f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d29e1eae29b28bc967f17f2b3cf6e7c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A6EC6FD8-5A17-486E-A2B6-21ECB6953F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E7BD9B-15D3-4B51-BB54-FAB68809D0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9264B6-65F6-4FF4-BCE8-58001C6565CC}">
  <ds:schemaRefs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8acd6055-54fc-4ce7-b3df-0a09834a0329"/>
    <ds:schemaRef ds:uri="708d6b01-37ca-4db4-bc7f-9b68f32c58b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Metadane</vt:lpstr>
      <vt:lpstr>SEC_Comm</vt:lpstr>
      <vt:lpstr>SEC_Processes</vt:lpstr>
      <vt:lpstr>CH4</vt:lpstr>
      <vt:lpstr>Biogas</vt:lpstr>
      <vt:lpstr>OLD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2026-01-05T14:38:05Z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Order">
    <vt:r8>607600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SaveCode">
    <vt:r8>395672023296356</vt:r8>
  </property>
</Properties>
</file>